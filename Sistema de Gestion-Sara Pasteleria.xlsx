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nch\OneDrive\Escritorio\"/>
    </mc:Choice>
  </mc:AlternateContent>
  <xr:revisionPtr revIDLastSave="0" documentId="8_{96E35A09-5BF9-40E9-8DF0-8A33422F5B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DUCTOS" sheetId="1" r:id="rId1"/>
    <sheet name="INSUMOS" sheetId="2" r:id="rId2"/>
    <sheet name="RECETAS" sheetId="3" r:id="rId3"/>
    <sheet name="VENTAS" sheetId="4" r:id="rId4"/>
    <sheet name="RESUMEN" sheetId="6" r:id="rId5"/>
  </sheets>
  <calcPr calcId="191029"/>
</workbook>
</file>

<file path=xl/calcChain.xml><?xml version="1.0" encoding="utf-8"?>
<calcChain xmlns="http://schemas.openxmlformats.org/spreadsheetml/2006/main">
  <c r="E3" i="4" l="1"/>
  <c r="E4" i="4"/>
  <c r="C10" i="6"/>
  <c r="C11" i="6"/>
  <c r="C12" i="6"/>
  <c r="C13" i="6"/>
  <c r="D2" i="2"/>
  <c r="E2" i="2" s="1"/>
  <c r="D3" i="2"/>
  <c r="E3" i="2" s="1"/>
  <c r="D4" i="2"/>
  <c r="E4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E17" i="2" s="1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E33" i="2" s="1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E49" i="2" s="1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E65" i="2" s="1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E81" i="2" s="1"/>
  <c r="D82" i="2"/>
  <c r="D83" i="2"/>
  <c r="D84" i="2"/>
  <c r="E84" i="2" s="1"/>
  <c r="D85" i="2"/>
  <c r="E85" i="2" s="1"/>
  <c r="D86" i="2"/>
  <c r="E86" i="2" s="1"/>
  <c r="D87" i="2"/>
  <c r="E87" i="2" s="1"/>
  <c r="D88" i="2"/>
  <c r="D89" i="2"/>
  <c r="D90" i="2"/>
  <c r="D91" i="2"/>
  <c r="D92" i="2"/>
  <c r="D93" i="2"/>
  <c r="D94" i="2"/>
  <c r="D95" i="2"/>
  <c r="D96" i="2"/>
  <c r="D97" i="2"/>
  <c r="E97" i="2" s="1"/>
  <c r="D98" i="2"/>
  <c r="D99" i="2"/>
  <c r="E99" i="2" s="1"/>
  <c r="D100" i="2"/>
  <c r="E100" i="2" s="1"/>
  <c r="D101" i="2"/>
  <c r="E101" i="2" s="1"/>
  <c r="F1001" i="4"/>
  <c r="D1001" i="4"/>
  <c r="E1001" i="4" s="1"/>
  <c r="F1000" i="4"/>
  <c r="D1000" i="4"/>
  <c r="E1000" i="4" s="1"/>
  <c r="F999" i="4"/>
  <c r="D999" i="4"/>
  <c r="E999" i="4" s="1"/>
  <c r="F998" i="4"/>
  <c r="D998" i="4"/>
  <c r="E998" i="4" s="1"/>
  <c r="F997" i="4"/>
  <c r="D997" i="4"/>
  <c r="E997" i="4" s="1"/>
  <c r="F996" i="4"/>
  <c r="D996" i="4"/>
  <c r="E996" i="4" s="1"/>
  <c r="F995" i="4"/>
  <c r="D995" i="4"/>
  <c r="E995" i="4" s="1"/>
  <c r="F994" i="4"/>
  <c r="D994" i="4"/>
  <c r="E994" i="4" s="1"/>
  <c r="F993" i="4"/>
  <c r="D993" i="4"/>
  <c r="E993" i="4" s="1"/>
  <c r="F992" i="4"/>
  <c r="D992" i="4"/>
  <c r="E992" i="4" s="1"/>
  <c r="F991" i="4"/>
  <c r="D991" i="4"/>
  <c r="E991" i="4" s="1"/>
  <c r="F990" i="4"/>
  <c r="D990" i="4"/>
  <c r="E990" i="4" s="1"/>
  <c r="F989" i="4"/>
  <c r="D989" i="4"/>
  <c r="E989" i="4" s="1"/>
  <c r="F988" i="4"/>
  <c r="D988" i="4"/>
  <c r="E988" i="4" s="1"/>
  <c r="F987" i="4"/>
  <c r="D987" i="4"/>
  <c r="E987" i="4" s="1"/>
  <c r="F986" i="4"/>
  <c r="D986" i="4"/>
  <c r="E986" i="4" s="1"/>
  <c r="F985" i="4"/>
  <c r="D985" i="4"/>
  <c r="E985" i="4" s="1"/>
  <c r="F984" i="4"/>
  <c r="D984" i="4"/>
  <c r="E984" i="4" s="1"/>
  <c r="F983" i="4"/>
  <c r="D983" i="4"/>
  <c r="E983" i="4" s="1"/>
  <c r="F982" i="4"/>
  <c r="D982" i="4"/>
  <c r="E982" i="4" s="1"/>
  <c r="F981" i="4"/>
  <c r="D981" i="4"/>
  <c r="E981" i="4" s="1"/>
  <c r="F980" i="4"/>
  <c r="D980" i="4"/>
  <c r="E980" i="4" s="1"/>
  <c r="F979" i="4"/>
  <c r="D979" i="4"/>
  <c r="E979" i="4" s="1"/>
  <c r="F978" i="4"/>
  <c r="D978" i="4"/>
  <c r="E978" i="4" s="1"/>
  <c r="F977" i="4"/>
  <c r="D977" i="4"/>
  <c r="E977" i="4" s="1"/>
  <c r="F976" i="4"/>
  <c r="D976" i="4"/>
  <c r="E976" i="4" s="1"/>
  <c r="F975" i="4"/>
  <c r="D975" i="4"/>
  <c r="E975" i="4" s="1"/>
  <c r="F974" i="4"/>
  <c r="D974" i="4"/>
  <c r="E974" i="4" s="1"/>
  <c r="F973" i="4"/>
  <c r="D973" i="4"/>
  <c r="E973" i="4" s="1"/>
  <c r="F972" i="4"/>
  <c r="D972" i="4"/>
  <c r="E972" i="4" s="1"/>
  <c r="F971" i="4"/>
  <c r="D971" i="4"/>
  <c r="E971" i="4" s="1"/>
  <c r="F970" i="4"/>
  <c r="D970" i="4"/>
  <c r="E970" i="4" s="1"/>
  <c r="F969" i="4"/>
  <c r="D969" i="4"/>
  <c r="E969" i="4" s="1"/>
  <c r="F968" i="4"/>
  <c r="D968" i="4"/>
  <c r="E968" i="4" s="1"/>
  <c r="F967" i="4"/>
  <c r="D967" i="4"/>
  <c r="E967" i="4" s="1"/>
  <c r="F966" i="4"/>
  <c r="D966" i="4"/>
  <c r="E966" i="4" s="1"/>
  <c r="F965" i="4"/>
  <c r="D965" i="4"/>
  <c r="E965" i="4" s="1"/>
  <c r="F964" i="4"/>
  <c r="D964" i="4"/>
  <c r="E964" i="4" s="1"/>
  <c r="F963" i="4"/>
  <c r="D963" i="4"/>
  <c r="E963" i="4" s="1"/>
  <c r="F962" i="4"/>
  <c r="D962" i="4"/>
  <c r="E962" i="4" s="1"/>
  <c r="F961" i="4"/>
  <c r="D961" i="4"/>
  <c r="E961" i="4" s="1"/>
  <c r="F960" i="4"/>
  <c r="D960" i="4"/>
  <c r="E960" i="4" s="1"/>
  <c r="F959" i="4"/>
  <c r="D959" i="4"/>
  <c r="E959" i="4" s="1"/>
  <c r="F958" i="4"/>
  <c r="D958" i="4"/>
  <c r="E958" i="4" s="1"/>
  <c r="F957" i="4"/>
  <c r="D957" i="4"/>
  <c r="E957" i="4" s="1"/>
  <c r="F956" i="4"/>
  <c r="D956" i="4"/>
  <c r="E956" i="4" s="1"/>
  <c r="F955" i="4"/>
  <c r="D955" i="4"/>
  <c r="E955" i="4" s="1"/>
  <c r="F954" i="4"/>
  <c r="D954" i="4"/>
  <c r="E954" i="4" s="1"/>
  <c r="F953" i="4"/>
  <c r="D953" i="4"/>
  <c r="E953" i="4" s="1"/>
  <c r="F952" i="4"/>
  <c r="D952" i="4"/>
  <c r="E952" i="4" s="1"/>
  <c r="F951" i="4"/>
  <c r="D951" i="4"/>
  <c r="E951" i="4" s="1"/>
  <c r="F950" i="4"/>
  <c r="D950" i="4"/>
  <c r="E950" i="4" s="1"/>
  <c r="F949" i="4"/>
  <c r="D949" i="4"/>
  <c r="E949" i="4" s="1"/>
  <c r="F948" i="4"/>
  <c r="D948" i="4"/>
  <c r="E948" i="4" s="1"/>
  <c r="F947" i="4"/>
  <c r="D947" i="4"/>
  <c r="E947" i="4" s="1"/>
  <c r="F946" i="4"/>
  <c r="D946" i="4"/>
  <c r="E946" i="4" s="1"/>
  <c r="F945" i="4"/>
  <c r="D945" i="4"/>
  <c r="E945" i="4" s="1"/>
  <c r="F944" i="4"/>
  <c r="D944" i="4"/>
  <c r="E944" i="4" s="1"/>
  <c r="F943" i="4"/>
  <c r="D943" i="4"/>
  <c r="E943" i="4" s="1"/>
  <c r="F942" i="4"/>
  <c r="D942" i="4"/>
  <c r="E942" i="4" s="1"/>
  <c r="F941" i="4"/>
  <c r="D941" i="4"/>
  <c r="E941" i="4" s="1"/>
  <c r="F940" i="4"/>
  <c r="D940" i="4"/>
  <c r="E940" i="4" s="1"/>
  <c r="F939" i="4"/>
  <c r="D939" i="4"/>
  <c r="E939" i="4" s="1"/>
  <c r="F938" i="4"/>
  <c r="D938" i="4"/>
  <c r="E938" i="4" s="1"/>
  <c r="F937" i="4"/>
  <c r="D937" i="4"/>
  <c r="E937" i="4" s="1"/>
  <c r="F936" i="4"/>
  <c r="D936" i="4"/>
  <c r="E936" i="4" s="1"/>
  <c r="F935" i="4"/>
  <c r="D935" i="4"/>
  <c r="E935" i="4" s="1"/>
  <c r="F934" i="4"/>
  <c r="D934" i="4"/>
  <c r="E934" i="4" s="1"/>
  <c r="F933" i="4"/>
  <c r="D933" i="4"/>
  <c r="E933" i="4" s="1"/>
  <c r="F932" i="4"/>
  <c r="D932" i="4"/>
  <c r="E932" i="4" s="1"/>
  <c r="F931" i="4"/>
  <c r="D931" i="4"/>
  <c r="E931" i="4" s="1"/>
  <c r="F930" i="4"/>
  <c r="D930" i="4"/>
  <c r="E930" i="4" s="1"/>
  <c r="F929" i="4"/>
  <c r="D929" i="4"/>
  <c r="E929" i="4" s="1"/>
  <c r="F928" i="4"/>
  <c r="D928" i="4"/>
  <c r="E928" i="4" s="1"/>
  <c r="F927" i="4"/>
  <c r="D927" i="4"/>
  <c r="E927" i="4" s="1"/>
  <c r="F926" i="4"/>
  <c r="D926" i="4"/>
  <c r="E926" i="4" s="1"/>
  <c r="F925" i="4"/>
  <c r="D925" i="4"/>
  <c r="E925" i="4" s="1"/>
  <c r="F924" i="4"/>
  <c r="D924" i="4"/>
  <c r="E924" i="4" s="1"/>
  <c r="F923" i="4"/>
  <c r="D923" i="4"/>
  <c r="E923" i="4" s="1"/>
  <c r="F922" i="4"/>
  <c r="D922" i="4"/>
  <c r="E922" i="4" s="1"/>
  <c r="F921" i="4"/>
  <c r="D921" i="4"/>
  <c r="E921" i="4" s="1"/>
  <c r="F920" i="4"/>
  <c r="D920" i="4"/>
  <c r="E920" i="4" s="1"/>
  <c r="F919" i="4"/>
  <c r="D919" i="4"/>
  <c r="E919" i="4" s="1"/>
  <c r="F918" i="4"/>
  <c r="D918" i="4"/>
  <c r="E918" i="4" s="1"/>
  <c r="F917" i="4"/>
  <c r="D917" i="4"/>
  <c r="E917" i="4" s="1"/>
  <c r="F916" i="4"/>
  <c r="D916" i="4"/>
  <c r="E916" i="4" s="1"/>
  <c r="F915" i="4"/>
  <c r="D915" i="4"/>
  <c r="E915" i="4" s="1"/>
  <c r="F914" i="4"/>
  <c r="D914" i="4"/>
  <c r="E914" i="4" s="1"/>
  <c r="F913" i="4"/>
  <c r="D913" i="4"/>
  <c r="E913" i="4" s="1"/>
  <c r="F912" i="4"/>
  <c r="D912" i="4"/>
  <c r="E912" i="4" s="1"/>
  <c r="F911" i="4"/>
  <c r="D911" i="4"/>
  <c r="E911" i="4" s="1"/>
  <c r="F910" i="4"/>
  <c r="D910" i="4"/>
  <c r="E910" i="4" s="1"/>
  <c r="F909" i="4"/>
  <c r="D909" i="4"/>
  <c r="E909" i="4" s="1"/>
  <c r="F908" i="4"/>
  <c r="D908" i="4"/>
  <c r="E908" i="4" s="1"/>
  <c r="F907" i="4"/>
  <c r="D907" i="4"/>
  <c r="E907" i="4" s="1"/>
  <c r="F906" i="4"/>
  <c r="D906" i="4"/>
  <c r="E906" i="4" s="1"/>
  <c r="F905" i="4"/>
  <c r="D905" i="4"/>
  <c r="E905" i="4" s="1"/>
  <c r="F904" i="4"/>
  <c r="D904" i="4"/>
  <c r="E904" i="4" s="1"/>
  <c r="F903" i="4"/>
  <c r="D903" i="4"/>
  <c r="E903" i="4" s="1"/>
  <c r="F902" i="4"/>
  <c r="D902" i="4"/>
  <c r="E902" i="4" s="1"/>
  <c r="F901" i="4"/>
  <c r="D901" i="4"/>
  <c r="E901" i="4" s="1"/>
  <c r="F900" i="4"/>
  <c r="D900" i="4"/>
  <c r="E900" i="4" s="1"/>
  <c r="F899" i="4"/>
  <c r="D899" i="4"/>
  <c r="E899" i="4" s="1"/>
  <c r="F898" i="4"/>
  <c r="D898" i="4"/>
  <c r="E898" i="4" s="1"/>
  <c r="F897" i="4"/>
  <c r="D897" i="4"/>
  <c r="E897" i="4" s="1"/>
  <c r="F896" i="4"/>
  <c r="D896" i="4"/>
  <c r="E896" i="4" s="1"/>
  <c r="F895" i="4"/>
  <c r="D895" i="4"/>
  <c r="E895" i="4" s="1"/>
  <c r="F894" i="4"/>
  <c r="D894" i="4"/>
  <c r="E894" i="4" s="1"/>
  <c r="F893" i="4"/>
  <c r="D893" i="4"/>
  <c r="E893" i="4" s="1"/>
  <c r="F892" i="4"/>
  <c r="D892" i="4"/>
  <c r="E892" i="4" s="1"/>
  <c r="F891" i="4"/>
  <c r="D891" i="4"/>
  <c r="E891" i="4" s="1"/>
  <c r="F890" i="4"/>
  <c r="D890" i="4"/>
  <c r="E890" i="4" s="1"/>
  <c r="F889" i="4"/>
  <c r="D889" i="4"/>
  <c r="E889" i="4" s="1"/>
  <c r="F888" i="4"/>
  <c r="D888" i="4"/>
  <c r="E888" i="4" s="1"/>
  <c r="F887" i="4"/>
  <c r="D887" i="4"/>
  <c r="E887" i="4" s="1"/>
  <c r="F886" i="4"/>
  <c r="D886" i="4"/>
  <c r="E886" i="4" s="1"/>
  <c r="F885" i="4"/>
  <c r="D885" i="4"/>
  <c r="E885" i="4" s="1"/>
  <c r="F884" i="4"/>
  <c r="D884" i="4"/>
  <c r="E884" i="4" s="1"/>
  <c r="F883" i="4"/>
  <c r="D883" i="4"/>
  <c r="E883" i="4" s="1"/>
  <c r="F882" i="4"/>
  <c r="D882" i="4"/>
  <c r="E882" i="4" s="1"/>
  <c r="F881" i="4"/>
  <c r="D881" i="4"/>
  <c r="E881" i="4" s="1"/>
  <c r="F880" i="4"/>
  <c r="D880" i="4"/>
  <c r="E880" i="4" s="1"/>
  <c r="F879" i="4"/>
  <c r="D879" i="4"/>
  <c r="E879" i="4" s="1"/>
  <c r="F878" i="4"/>
  <c r="D878" i="4"/>
  <c r="E878" i="4" s="1"/>
  <c r="F877" i="4"/>
  <c r="D877" i="4"/>
  <c r="E877" i="4" s="1"/>
  <c r="F876" i="4"/>
  <c r="D876" i="4"/>
  <c r="E876" i="4" s="1"/>
  <c r="F875" i="4"/>
  <c r="D875" i="4"/>
  <c r="E875" i="4" s="1"/>
  <c r="F874" i="4"/>
  <c r="D874" i="4"/>
  <c r="E874" i="4" s="1"/>
  <c r="F873" i="4"/>
  <c r="D873" i="4"/>
  <c r="E873" i="4" s="1"/>
  <c r="F872" i="4"/>
  <c r="D872" i="4"/>
  <c r="E872" i="4" s="1"/>
  <c r="F871" i="4"/>
  <c r="D871" i="4"/>
  <c r="E871" i="4" s="1"/>
  <c r="F870" i="4"/>
  <c r="D870" i="4"/>
  <c r="E870" i="4" s="1"/>
  <c r="F869" i="4"/>
  <c r="D869" i="4"/>
  <c r="E869" i="4" s="1"/>
  <c r="F868" i="4"/>
  <c r="D868" i="4"/>
  <c r="E868" i="4" s="1"/>
  <c r="F867" i="4"/>
  <c r="D867" i="4"/>
  <c r="E867" i="4" s="1"/>
  <c r="F866" i="4"/>
  <c r="D866" i="4"/>
  <c r="E866" i="4" s="1"/>
  <c r="F865" i="4"/>
  <c r="D865" i="4"/>
  <c r="E865" i="4" s="1"/>
  <c r="F864" i="4"/>
  <c r="D864" i="4"/>
  <c r="E864" i="4" s="1"/>
  <c r="F863" i="4"/>
  <c r="D863" i="4"/>
  <c r="E863" i="4" s="1"/>
  <c r="F862" i="4"/>
  <c r="D862" i="4"/>
  <c r="E862" i="4" s="1"/>
  <c r="F861" i="4"/>
  <c r="D861" i="4"/>
  <c r="E861" i="4" s="1"/>
  <c r="F860" i="4"/>
  <c r="D860" i="4"/>
  <c r="E860" i="4" s="1"/>
  <c r="F859" i="4"/>
  <c r="D859" i="4"/>
  <c r="E859" i="4" s="1"/>
  <c r="F858" i="4"/>
  <c r="D858" i="4"/>
  <c r="E858" i="4" s="1"/>
  <c r="F857" i="4"/>
  <c r="D857" i="4"/>
  <c r="E857" i="4" s="1"/>
  <c r="F856" i="4"/>
  <c r="D856" i="4"/>
  <c r="E856" i="4" s="1"/>
  <c r="F855" i="4"/>
  <c r="D855" i="4"/>
  <c r="E855" i="4" s="1"/>
  <c r="F854" i="4"/>
  <c r="D854" i="4"/>
  <c r="E854" i="4" s="1"/>
  <c r="F853" i="4"/>
  <c r="D853" i="4"/>
  <c r="E853" i="4" s="1"/>
  <c r="F852" i="4"/>
  <c r="D852" i="4"/>
  <c r="E852" i="4" s="1"/>
  <c r="F851" i="4"/>
  <c r="D851" i="4"/>
  <c r="E851" i="4" s="1"/>
  <c r="F850" i="4"/>
  <c r="D850" i="4"/>
  <c r="E850" i="4" s="1"/>
  <c r="F849" i="4"/>
  <c r="D849" i="4"/>
  <c r="E849" i="4" s="1"/>
  <c r="F848" i="4"/>
  <c r="D848" i="4"/>
  <c r="E848" i="4" s="1"/>
  <c r="F847" i="4"/>
  <c r="D847" i="4"/>
  <c r="E847" i="4" s="1"/>
  <c r="F846" i="4"/>
  <c r="D846" i="4"/>
  <c r="E846" i="4" s="1"/>
  <c r="F845" i="4"/>
  <c r="D845" i="4"/>
  <c r="E845" i="4" s="1"/>
  <c r="F844" i="4"/>
  <c r="D844" i="4"/>
  <c r="E844" i="4" s="1"/>
  <c r="F843" i="4"/>
  <c r="D843" i="4"/>
  <c r="E843" i="4" s="1"/>
  <c r="F842" i="4"/>
  <c r="D842" i="4"/>
  <c r="E842" i="4" s="1"/>
  <c r="F841" i="4"/>
  <c r="D841" i="4"/>
  <c r="E841" i="4" s="1"/>
  <c r="F840" i="4"/>
  <c r="D840" i="4"/>
  <c r="E840" i="4" s="1"/>
  <c r="F839" i="4"/>
  <c r="D839" i="4"/>
  <c r="E839" i="4" s="1"/>
  <c r="F838" i="4"/>
  <c r="D838" i="4"/>
  <c r="E838" i="4" s="1"/>
  <c r="F837" i="4"/>
  <c r="D837" i="4"/>
  <c r="E837" i="4" s="1"/>
  <c r="F836" i="4"/>
  <c r="D836" i="4"/>
  <c r="E836" i="4" s="1"/>
  <c r="F835" i="4"/>
  <c r="D835" i="4"/>
  <c r="E835" i="4" s="1"/>
  <c r="F834" i="4"/>
  <c r="D834" i="4"/>
  <c r="E834" i="4" s="1"/>
  <c r="F833" i="4"/>
  <c r="D833" i="4"/>
  <c r="E833" i="4" s="1"/>
  <c r="F832" i="4"/>
  <c r="D832" i="4"/>
  <c r="E832" i="4" s="1"/>
  <c r="F831" i="4"/>
  <c r="D831" i="4"/>
  <c r="E831" i="4" s="1"/>
  <c r="F830" i="4"/>
  <c r="D830" i="4"/>
  <c r="E830" i="4" s="1"/>
  <c r="F829" i="4"/>
  <c r="D829" i="4"/>
  <c r="E829" i="4" s="1"/>
  <c r="F828" i="4"/>
  <c r="D828" i="4"/>
  <c r="E828" i="4" s="1"/>
  <c r="F827" i="4"/>
  <c r="D827" i="4"/>
  <c r="E827" i="4" s="1"/>
  <c r="F826" i="4"/>
  <c r="D826" i="4"/>
  <c r="E826" i="4" s="1"/>
  <c r="F825" i="4"/>
  <c r="E825" i="4"/>
  <c r="D825" i="4"/>
  <c r="F824" i="4"/>
  <c r="D824" i="4"/>
  <c r="E824" i="4" s="1"/>
  <c r="F823" i="4"/>
  <c r="D823" i="4"/>
  <c r="E823" i="4" s="1"/>
  <c r="F822" i="4"/>
  <c r="D822" i="4"/>
  <c r="E822" i="4" s="1"/>
  <c r="F821" i="4"/>
  <c r="D821" i="4"/>
  <c r="E821" i="4" s="1"/>
  <c r="F820" i="4"/>
  <c r="D820" i="4"/>
  <c r="E820" i="4" s="1"/>
  <c r="F819" i="4"/>
  <c r="D819" i="4"/>
  <c r="E819" i="4" s="1"/>
  <c r="F818" i="4"/>
  <c r="D818" i="4"/>
  <c r="E818" i="4" s="1"/>
  <c r="F817" i="4"/>
  <c r="D817" i="4"/>
  <c r="E817" i="4" s="1"/>
  <c r="F816" i="4"/>
  <c r="D816" i="4"/>
  <c r="E816" i="4" s="1"/>
  <c r="F815" i="4"/>
  <c r="D815" i="4"/>
  <c r="E815" i="4" s="1"/>
  <c r="F814" i="4"/>
  <c r="D814" i="4"/>
  <c r="E814" i="4" s="1"/>
  <c r="F813" i="4"/>
  <c r="D813" i="4"/>
  <c r="E813" i="4" s="1"/>
  <c r="F812" i="4"/>
  <c r="D812" i="4"/>
  <c r="E812" i="4" s="1"/>
  <c r="F811" i="4"/>
  <c r="D811" i="4"/>
  <c r="E811" i="4" s="1"/>
  <c r="F810" i="4"/>
  <c r="D810" i="4"/>
  <c r="E810" i="4" s="1"/>
  <c r="F809" i="4"/>
  <c r="D809" i="4"/>
  <c r="E809" i="4" s="1"/>
  <c r="F808" i="4"/>
  <c r="D808" i="4"/>
  <c r="E808" i="4" s="1"/>
  <c r="F807" i="4"/>
  <c r="D807" i="4"/>
  <c r="E807" i="4" s="1"/>
  <c r="F806" i="4"/>
  <c r="D806" i="4"/>
  <c r="E806" i="4" s="1"/>
  <c r="F805" i="4"/>
  <c r="D805" i="4"/>
  <c r="E805" i="4" s="1"/>
  <c r="F804" i="4"/>
  <c r="D804" i="4"/>
  <c r="E804" i="4" s="1"/>
  <c r="F803" i="4"/>
  <c r="D803" i="4"/>
  <c r="E803" i="4" s="1"/>
  <c r="F802" i="4"/>
  <c r="D802" i="4"/>
  <c r="E802" i="4" s="1"/>
  <c r="F801" i="4"/>
  <c r="D801" i="4"/>
  <c r="E801" i="4" s="1"/>
  <c r="F800" i="4"/>
  <c r="D800" i="4"/>
  <c r="E800" i="4" s="1"/>
  <c r="F799" i="4"/>
  <c r="D799" i="4"/>
  <c r="E799" i="4" s="1"/>
  <c r="F798" i="4"/>
  <c r="D798" i="4"/>
  <c r="E798" i="4" s="1"/>
  <c r="F797" i="4"/>
  <c r="D797" i="4"/>
  <c r="E797" i="4" s="1"/>
  <c r="F796" i="4"/>
  <c r="D796" i="4"/>
  <c r="E796" i="4" s="1"/>
  <c r="F795" i="4"/>
  <c r="D795" i="4"/>
  <c r="E795" i="4" s="1"/>
  <c r="F794" i="4"/>
  <c r="D794" i="4"/>
  <c r="E794" i="4" s="1"/>
  <c r="F793" i="4"/>
  <c r="D793" i="4"/>
  <c r="E793" i="4" s="1"/>
  <c r="F792" i="4"/>
  <c r="D792" i="4"/>
  <c r="E792" i="4" s="1"/>
  <c r="F791" i="4"/>
  <c r="D791" i="4"/>
  <c r="E791" i="4" s="1"/>
  <c r="F790" i="4"/>
  <c r="D790" i="4"/>
  <c r="E790" i="4" s="1"/>
  <c r="F789" i="4"/>
  <c r="D789" i="4"/>
  <c r="E789" i="4" s="1"/>
  <c r="F788" i="4"/>
  <c r="D788" i="4"/>
  <c r="E788" i="4" s="1"/>
  <c r="F787" i="4"/>
  <c r="D787" i="4"/>
  <c r="E787" i="4" s="1"/>
  <c r="F786" i="4"/>
  <c r="D786" i="4"/>
  <c r="E786" i="4" s="1"/>
  <c r="F785" i="4"/>
  <c r="D785" i="4"/>
  <c r="E785" i="4" s="1"/>
  <c r="F784" i="4"/>
  <c r="D784" i="4"/>
  <c r="E784" i="4" s="1"/>
  <c r="F783" i="4"/>
  <c r="D783" i="4"/>
  <c r="E783" i="4" s="1"/>
  <c r="F782" i="4"/>
  <c r="D782" i="4"/>
  <c r="E782" i="4" s="1"/>
  <c r="F781" i="4"/>
  <c r="D781" i="4"/>
  <c r="E781" i="4" s="1"/>
  <c r="F780" i="4"/>
  <c r="D780" i="4"/>
  <c r="E780" i="4" s="1"/>
  <c r="F779" i="4"/>
  <c r="D779" i="4"/>
  <c r="E779" i="4" s="1"/>
  <c r="F778" i="4"/>
  <c r="D778" i="4"/>
  <c r="E778" i="4" s="1"/>
  <c r="F777" i="4"/>
  <c r="D777" i="4"/>
  <c r="E777" i="4" s="1"/>
  <c r="F776" i="4"/>
  <c r="D776" i="4"/>
  <c r="E776" i="4" s="1"/>
  <c r="F775" i="4"/>
  <c r="D775" i="4"/>
  <c r="E775" i="4" s="1"/>
  <c r="F774" i="4"/>
  <c r="D774" i="4"/>
  <c r="E774" i="4" s="1"/>
  <c r="F773" i="4"/>
  <c r="D773" i="4"/>
  <c r="E773" i="4" s="1"/>
  <c r="F772" i="4"/>
  <c r="D772" i="4"/>
  <c r="E772" i="4" s="1"/>
  <c r="F771" i="4"/>
  <c r="D771" i="4"/>
  <c r="E771" i="4" s="1"/>
  <c r="F770" i="4"/>
  <c r="D770" i="4"/>
  <c r="E770" i="4" s="1"/>
  <c r="F769" i="4"/>
  <c r="D769" i="4"/>
  <c r="E769" i="4" s="1"/>
  <c r="F768" i="4"/>
  <c r="D768" i="4"/>
  <c r="E768" i="4" s="1"/>
  <c r="F767" i="4"/>
  <c r="D767" i="4"/>
  <c r="E767" i="4" s="1"/>
  <c r="F766" i="4"/>
  <c r="D766" i="4"/>
  <c r="E766" i="4" s="1"/>
  <c r="F765" i="4"/>
  <c r="D765" i="4"/>
  <c r="E765" i="4" s="1"/>
  <c r="F764" i="4"/>
  <c r="D764" i="4"/>
  <c r="E764" i="4" s="1"/>
  <c r="F763" i="4"/>
  <c r="D763" i="4"/>
  <c r="E763" i="4" s="1"/>
  <c r="F762" i="4"/>
  <c r="D762" i="4"/>
  <c r="E762" i="4" s="1"/>
  <c r="F761" i="4"/>
  <c r="D761" i="4"/>
  <c r="E761" i="4" s="1"/>
  <c r="F760" i="4"/>
  <c r="D760" i="4"/>
  <c r="E760" i="4" s="1"/>
  <c r="F759" i="4"/>
  <c r="D759" i="4"/>
  <c r="E759" i="4" s="1"/>
  <c r="F758" i="4"/>
  <c r="D758" i="4"/>
  <c r="E758" i="4" s="1"/>
  <c r="F757" i="4"/>
  <c r="D757" i="4"/>
  <c r="E757" i="4" s="1"/>
  <c r="F756" i="4"/>
  <c r="D756" i="4"/>
  <c r="E756" i="4" s="1"/>
  <c r="F755" i="4"/>
  <c r="D755" i="4"/>
  <c r="E755" i="4" s="1"/>
  <c r="F754" i="4"/>
  <c r="D754" i="4"/>
  <c r="E754" i="4" s="1"/>
  <c r="F753" i="4"/>
  <c r="D753" i="4"/>
  <c r="E753" i="4" s="1"/>
  <c r="F752" i="4"/>
  <c r="D752" i="4"/>
  <c r="E752" i="4" s="1"/>
  <c r="F751" i="4"/>
  <c r="D751" i="4"/>
  <c r="E751" i="4" s="1"/>
  <c r="F750" i="4"/>
  <c r="D750" i="4"/>
  <c r="E750" i="4" s="1"/>
  <c r="F749" i="4"/>
  <c r="D749" i="4"/>
  <c r="E749" i="4" s="1"/>
  <c r="F748" i="4"/>
  <c r="D748" i="4"/>
  <c r="E748" i="4" s="1"/>
  <c r="F747" i="4"/>
  <c r="D747" i="4"/>
  <c r="E747" i="4" s="1"/>
  <c r="F746" i="4"/>
  <c r="D746" i="4"/>
  <c r="E746" i="4" s="1"/>
  <c r="F745" i="4"/>
  <c r="D745" i="4"/>
  <c r="E745" i="4" s="1"/>
  <c r="F744" i="4"/>
  <c r="D744" i="4"/>
  <c r="E744" i="4" s="1"/>
  <c r="F743" i="4"/>
  <c r="D743" i="4"/>
  <c r="E743" i="4" s="1"/>
  <c r="F742" i="4"/>
  <c r="D742" i="4"/>
  <c r="E742" i="4" s="1"/>
  <c r="F741" i="4"/>
  <c r="D741" i="4"/>
  <c r="E741" i="4" s="1"/>
  <c r="F740" i="4"/>
  <c r="D740" i="4"/>
  <c r="E740" i="4" s="1"/>
  <c r="F739" i="4"/>
  <c r="D739" i="4"/>
  <c r="E739" i="4" s="1"/>
  <c r="F738" i="4"/>
  <c r="D738" i="4"/>
  <c r="E738" i="4" s="1"/>
  <c r="F737" i="4"/>
  <c r="D737" i="4"/>
  <c r="E737" i="4" s="1"/>
  <c r="F736" i="4"/>
  <c r="D736" i="4"/>
  <c r="E736" i="4" s="1"/>
  <c r="F735" i="4"/>
  <c r="D735" i="4"/>
  <c r="E735" i="4" s="1"/>
  <c r="F734" i="4"/>
  <c r="D734" i="4"/>
  <c r="E734" i="4" s="1"/>
  <c r="F733" i="4"/>
  <c r="D733" i="4"/>
  <c r="E733" i="4" s="1"/>
  <c r="F732" i="4"/>
  <c r="D732" i="4"/>
  <c r="E732" i="4" s="1"/>
  <c r="F731" i="4"/>
  <c r="D731" i="4"/>
  <c r="E731" i="4" s="1"/>
  <c r="F730" i="4"/>
  <c r="D730" i="4"/>
  <c r="E730" i="4" s="1"/>
  <c r="F729" i="4"/>
  <c r="D729" i="4"/>
  <c r="E729" i="4" s="1"/>
  <c r="F728" i="4"/>
  <c r="D728" i="4"/>
  <c r="E728" i="4" s="1"/>
  <c r="F727" i="4"/>
  <c r="D727" i="4"/>
  <c r="E727" i="4" s="1"/>
  <c r="F726" i="4"/>
  <c r="D726" i="4"/>
  <c r="E726" i="4" s="1"/>
  <c r="F725" i="4"/>
  <c r="D725" i="4"/>
  <c r="E725" i="4" s="1"/>
  <c r="F724" i="4"/>
  <c r="D724" i="4"/>
  <c r="E724" i="4" s="1"/>
  <c r="F723" i="4"/>
  <c r="D723" i="4"/>
  <c r="E723" i="4" s="1"/>
  <c r="F722" i="4"/>
  <c r="D722" i="4"/>
  <c r="E722" i="4" s="1"/>
  <c r="F721" i="4"/>
  <c r="D721" i="4"/>
  <c r="E721" i="4" s="1"/>
  <c r="F720" i="4"/>
  <c r="D720" i="4"/>
  <c r="E720" i="4" s="1"/>
  <c r="F719" i="4"/>
  <c r="D719" i="4"/>
  <c r="E719" i="4" s="1"/>
  <c r="F718" i="4"/>
  <c r="D718" i="4"/>
  <c r="E718" i="4" s="1"/>
  <c r="F717" i="4"/>
  <c r="D717" i="4"/>
  <c r="E717" i="4" s="1"/>
  <c r="F716" i="4"/>
  <c r="D716" i="4"/>
  <c r="E716" i="4" s="1"/>
  <c r="F715" i="4"/>
  <c r="D715" i="4"/>
  <c r="E715" i="4" s="1"/>
  <c r="F714" i="4"/>
  <c r="D714" i="4"/>
  <c r="E714" i="4" s="1"/>
  <c r="F713" i="4"/>
  <c r="D713" i="4"/>
  <c r="E713" i="4" s="1"/>
  <c r="F712" i="4"/>
  <c r="D712" i="4"/>
  <c r="E712" i="4" s="1"/>
  <c r="F711" i="4"/>
  <c r="D711" i="4"/>
  <c r="E711" i="4" s="1"/>
  <c r="F710" i="4"/>
  <c r="D710" i="4"/>
  <c r="E710" i="4" s="1"/>
  <c r="F709" i="4"/>
  <c r="D709" i="4"/>
  <c r="E709" i="4" s="1"/>
  <c r="F708" i="4"/>
  <c r="D708" i="4"/>
  <c r="E708" i="4" s="1"/>
  <c r="F707" i="4"/>
  <c r="D707" i="4"/>
  <c r="E707" i="4" s="1"/>
  <c r="F706" i="4"/>
  <c r="D706" i="4"/>
  <c r="E706" i="4" s="1"/>
  <c r="F705" i="4"/>
  <c r="D705" i="4"/>
  <c r="E705" i="4" s="1"/>
  <c r="F704" i="4"/>
  <c r="D704" i="4"/>
  <c r="E704" i="4" s="1"/>
  <c r="F703" i="4"/>
  <c r="D703" i="4"/>
  <c r="E703" i="4" s="1"/>
  <c r="F702" i="4"/>
  <c r="D702" i="4"/>
  <c r="E702" i="4" s="1"/>
  <c r="F701" i="4"/>
  <c r="D701" i="4"/>
  <c r="E701" i="4" s="1"/>
  <c r="F700" i="4"/>
  <c r="D700" i="4"/>
  <c r="E700" i="4" s="1"/>
  <c r="F699" i="4"/>
  <c r="D699" i="4"/>
  <c r="E699" i="4" s="1"/>
  <c r="F698" i="4"/>
  <c r="D698" i="4"/>
  <c r="E698" i="4" s="1"/>
  <c r="F697" i="4"/>
  <c r="D697" i="4"/>
  <c r="E697" i="4" s="1"/>
  <c r="F696" i="4"/>
  <c r="D696" i="4"/>
  <c r="E696" i="4" s="1"/>
  <c r="F695" i="4"/>
  <c r="D695" i="4"/>
  <c r="E695" i="4" s="1"/>
  <c r="F694" i="4"/>
  <c r="D694" i="4"/>
  <c r="E694" i="4" s="1"/>
  <c r="F693" i="4"/>
  <c r="D693" i="4"/>
  <c r="E693" i="4" s="1"/>
  <c r="F692" i="4"/>
  <c r="D692" i="4"/>
  <c r="E692" i="4" s="1"/>
  <c r="F691" i="4"/>
  <c r="D691" i="4"/>
  <c r="E691" i="4" s="1"/>
  <c r="F690" i="4"/>
  <c r="D690" i="4"/>
  <c r="E690" i="4" s="1"/>
  <c r="F689" i="4"/>
  <c r="D689" i="4"/>
  <c r="E689" i="4" s="1"/>
  <c r="F688" i="4"/>
  <c r="D688" i="4"/>
  <c r="E688" i="4" s="1"/>
  <c r="F687" i="4"/>
  <c r="D687" i="4"/>
  <c r="E687" i="4" s="1"/>
  <c r="F686" i="4"/>
  <c r="D686" i="4"/>
  <c r="E686" i="4" s="1"/>
  <c r="F685" i="4"/>
  <c r="D685" i="4"/>
  <c r="E685" i="4" s="1"/>
  <c r="F684" i="4"/>
  <c r="D684" i="4"/>
  <c r="E684" i="4" s="1"/>
  <c r="F683" i="4"/>
  <c r="D683" i="4"/>
  <c r="E683" i="4" s="1"/>
  <c r="F682" i="4"/>
  <c r="D682" i="4"/>
  <c r="E682" i="4" s="1"/>
  <c r="F681" i="4"/>
  <c r="D681" i="4"/>
  <c r="E681" i="4" s="1"/>
  <c r="F680" i="4"/>
  <c r="D680" i="4"/>
  <c r="E680" i="4" s="1"/>
  <c r="F679" i="4"/>
  <c r="D679" i="4"/>
  <c r="E679" i="4" s="1"/>
  <c r="F678" i="4"/>
  <c r="D678" i="4"/>
  <c r="E678" i="4" s="1"/>
  <c r="F677" i="4"/>
  <c r="D677" i="4"/>
  <c r="E677" i="4" s="1"/>
  <c r="F676" i="4"/>
  <c r="D676" i="4"/>
  <c r="E676" i="4" s="1"/>
  <c r="F675" i="4"/>
  <c r="D675" i="4"/>
  <c r="E675" i="4" s="1"/>
  <c r="F674" i="4"/>
  <c r="D674" i="4"/>
  <c r="E674" i="4" s="1"/>
  <c r="F673" i="4"/>
  <c r="D673" i="4"/>
  <c r="E673" i="4" s="1"/>
  <c r="F672" i="4"/>
  <c r="D672" i="4"/>
  <c r="E672" i="4" s="1"/>
  <c r="F671" i="4"/>
  <c r="D671" i="4"/>
  <c r="E671" i="4" s="1"/>
  <c r="F670" i="4"/>
  <c r="D670" i="4"/>
  <c r="E670" i="4" s="1"/>
  <c r="F669" i="4"/>
  <c r="D669" i="4"/>
  <c r="E669" i="4" s="1"/>
  <c r="F668" i="4"/>
  <c r="D668" i="4"/>
  <c r="E668" i="4" s="1"/>
  <c r="F667" i="4"/>
  <c r="D667" i="4"/>
  <c r="E667" i="4" s="1"/>
  <c r="F666" i="4"/>
  <c r="D666" i="4"/>
  <c r="E666" i="4" s="1"/>
  <c r="F665" i="4"/>
  <c r="D665" i="4"/>
  <c r="E665" i="4" s="1"/>
  <c r="F664" i="4"/>
  <c r="D664" i="4"/>
  <c r="E664" i="4" s="1"/>
  <c r="F663" i="4"/>
  <c r="D663" i="4"/>
  <c r="E663" i="4" s="1"/>
  <c r="F662" i="4"/>
  <c r="D662" i="4"/>
  <c r="E662" i="4" s="1"/>
  <c r="F661" i="4"/>
  <c r="D661" i="4"/>
  <c r="E661" i="4" s="1"/>
  <c r="F660" i="4"/>
  <c r="D660" i="4"/>
  <c r="E660" i="4" s="1"/>
  <c r="F659" i="4"/>
  <c r="D659" i="4"/>
  <c r="E659" i="4" s="1"/>
  <c r="F658" i="4"/>
  <c r="D658" i="4"/>
  <c r="E658" i="4" s="1"/>
  <c r="F657" i="4"/>
  <c r="D657" i="4"/>
  <c r="E657" i="4" s="1"/>
  <c r="F656" i="4"/>
  <c r="D656" i="4"/>
  <c r="E656" i="4" s="1"/>
  <c r="F655" i="4"/>
  <c r="D655" i="4"/>
  <c r="E655" i="4" s="1"/>
  <c r="F654" i="4"/>
  <c r="D654" i="4"/>
  <c r="E654" i="4" s="1"/>
  <c r="F653" i="4"/>
  <c r="D653" i="4"/>
  <c r="E653" i="4" s="1"/>
  <c r="F652" i="4"/>
  <c r="D652" i="4"/>
  <c r="E652" i="4" s="1"/>
  <c r="F651" i="4"/>
  <c r="D651" i="4"/>
  <c r="E651" i="4" s="1"/>
  <c r="F650" i="4"/>
  <c r="D650" i="4"/>
  <c r="E650" i="4" s="1"/>
  <c r="F649" i="4"/>
  <c r="D649" i="4"/>
  <c r="E649" i="4" s="1"/>
  <c r="F648" i="4"/>
  <c r="D648" i="4"/>
  <c r="E648" i="4" s="1"/>
  <c r="F647" i="4"/>
  <c r="D647" i="4"/>
  <c r="E647" i="4" s="1"/>
  <c r="F646" i="4"/>
  <c r="D646" i="4"/>
  <c r="E646" i="4" s="1"/>
  <c r="F645" i="4"/>
  <c r="D645" i="4"/>
  <c r="E645" i="4" s="1"/>
  <c r="F644" i="4"/>
  <c r="D644" i="4"/>
  <c r="E644" i="4" s="1"/>
  <c r="F643" i="4"/>
  <c r="D643" i="4"/>
  <c r="E643" i="4" s="1"/>
  <c r="F642" i="4"/>
  <c r="D642" i="4"/>
  <c r="E642" i="4" s="1"/>
  <c r="F641" i="4"/>
  <c r="D641" i="4"/>
  <c r="E641" i="4" s="1"/>
  <c r="F640" i="4"/>
  <c r="D640" i="4"/>
  <c r="E640" i="4" s="1"/>
  <c r="F639" i="4"/>
  <c r="D639" i="4"/>
  <c r="E639" i="4" s="1"/>
  <c r="F638" i="4"/>
  <c r="D638" i="4"/>
  <c r="E638" i="4" s="1"/>
  <c r="F637" i="4"/>
  <c r="D637" i="4"/>
  <c r="E637" i="4" s="1"/>
  <c r="F636" i="4"/>
  <c r="D636" i="4"/>
  <c r="E636" i="4" s="1"/>
  <c r="F635" i="4"/>
  <c r="D635" i="4"/>
  <c r="E635" i="4" s="1"/>
  <c r="F634" i="4"/>
  <c r="D634" i="4"/>
  <c r="E634" i="4" s="1"/>
  <c r="F633" i="4"/>
  <c r="D633" i="4"/>
  <c r="E633" i="4" s="1"/>
  <c r="F632" i="4"/>
  <c r="D632" i="4"/>
  <c r="E632" i="4" s="1"/>
  <c r="F631" i="4"/>
  <c r="D631" i="4"/>
  <c r="E631" i="4" s="1"/>
  <c r="F630" i="4"/>
  <c r="D630" i="4"/>
  <c r="E630" i="4" s="1"/>
  <c r="F629" i="4"/>
  <c r="D629" i="4"/>
  <c r="E629" i="4" s="1"/>
  <c r="F628" i="4"/>
  <c r="D628" i="4"/>
  <c r="E628" i="4" s="1"/>
  <c r="F627" i="4"/>
  <c r="D627" i="4"/>
  <c r="E627" i="4" s="1"/>
  <c r="F626" i="4"/>
  <c r="D626" i="4"/>
  <c r="E626" i="4" s="1"/>
  <c r="F625" i="4"/>
  <c r="D625" i="4"/>
  <c r="E625" i="4" s="1"/>
  <c r="F624" i="4"/>
  <c r="D624" i="4"/>
  <c r="E624" i="4" s="1"/>
  <c r="F623" i="4"/>
  <c r="D623" i="4"/>
  <c r="E623" i="4" s="1"/>
  <c r="F622" i="4"/>
  <c r="D622" i="4"/>
  <c r="E622" i="4" s="1"/>
  <c r="F621" i="4"/>
  <c r="D621" i="4"/>
  <c r="E621" i="4" s="1"/>
  <c r="F620" i="4"/>
  <c r="D620" i="4"/>
  <c r="E620" i="4" s="1"/>
  <c r="F619" i="4"/>
  <c r="D619" i="4"/>
  <c r="E619" i="4" s="1"/>
  <c r="F618" i="4"/>
  <c r="D618" i="4"/>
  <c r="E618" i="4" s="1"/>
  <c r="F617" i="4"/>
  <c r="D617" i="4"/>
  <c r="E617" i="4" s="1"/>
  <c r="F616" i="4"/>
  <c r="D616" i="4"/>
  <c r="E616" i="4" s="1"/>
  <c r="F615" i="4"/>
  <c r="D615" i="4"/>
  <c r="E615" i="4" s="1"/>
  <c r="F614" i="4"/>
  <c r="D614" i="4"/>
  <c r="E614" i="4" s="1"/>
  <c r="F613" i="4"/>
  <c r="D613" i="4"/>
  <c r="E613" i="4" s="1"/>
  <c r="F612" i="4"/>
  <c r="D612" i="4"/>
  <c r="E612" i="4" s="1"/>
  <c r="F611" i="4"/>
  <c r="D611" i="4"/>
  <c r="E611" i="4" s="1"/>
  <c r="F610" i="4"/>
  <c r="D610" i="4"/>
  <c r="E610" i="4" s="1"/>
  <c r="F609" i="4"/>
  <c r="D609" i="4"/>
  <c r="E609" i="4" s="1"/>
  <c r="F608" i="4"/>
  <c r="D608" i="4"/>
  <c r="E608" i="4" s="1"/>
  <c r="F607" i="4"/>
  <c r="D607" i="4"/>
  <c r="E607" i="4" s="1"/>
  <c r="F606" i="4"/>
  <c r="D606" i="4"/>
  <c r="E606" i="4" s="1"/>
  <c r="F605" i="4"/>
  <c r="D605" i="4"/>
  <c r="E605" i="4" s="1"/>
  <c r="F604" i="4"/>
  <c r="D604" i="4"/>
  <c r="E604" i="4" s="1"/>
  <c r="F603" i="4"/>
  <c r="D603" i="4"/>
  <c r="E603" i="4" s="1"/>
  <c r="F602" i="4"/>
  <c r="D602" i="4"/>
  <c r="E602" i="4" s="1"/>
  <c r="F601" i="4"/>
  <c r="D601" i="4"/>
  <c r="E601" i="4" s="1"/>
  <c r="F600" i="4"/>
  <c r="D600" i="4"/>
  <c r="E600" i="4" s="1"/>
  <c r="F599" i="4"/>
  <c r="D599" i="4"/>
  <c r="E599" i="4" s="1"/>
  <c r="F598" i="4"/>
  <c r="D598" i="4"/>
  <c r="E598" i="4" s="1"/>
  <c r="F597" i="4"/>
  <c r="D597" i="4"/>
  <c r="E597" i="4" s="1"/>
  <c r="F596" i="4"/>
  <c r="D596" i="4"/>
  <c r="E596" i="4" s="1"/>
  <c r="F595" i="4"/>
  <c r="D595" i="4"/>
  <c r="E595" i="4" s="1"/>
  <c r="F594" i="4"/>
  <c r="D594" i="4"/>
  <c r="E594" i="4" s="1"/>
  <c r="F593" i="4"/>
  <c r="D593" i="4"/>
  <c r="E593" i="4" s="1"/>
  <c r="F592" i="4"/>
  <c r="D592" i="4"/>
  <c r="E592" i="4" s="1"/>
  <c r="F591" i="4"/>
  <c r="D591" i="4"/>
  <c r="E591" i="4" s="1"/>
  <c r="F590" i="4"/>
  <c r="D590" i="4"/>
  <c r="E590" i="4" s="1"/>
  <c r="F589" i="4"/>
  <c r="D589" i="4"/>
  <c r="E589" i="4" s="1"/>
  <c r="F588" i="4"/>
  <c r="D588" i="4"/>
  <c r="E588" i="4" s="1"/>
  <c r="F587" i="4"/>
  <c r="D587" i="4"/>
  <c r="E587" i="4" s="1"/>
  <c r="F586" i="4"/>
  <c r="D586" i="4"/>
  <c r="E586" i="4" s="1"/>
  <c r="F585" i="4"/>
  <c r="D585" i="4"/>
  <c r="E585" i="4" s="1"/>
  <c r="F584" i="4"/>
  <c r="D584" i="4"/>
  <c r="E584" i="4" s="1"/>
  <c r="F583" i="4"/>
  <c r="D583" i="4"/>
  <c r="E583" i="4" s="1"/>
  <c r="F582" i="4"/>
  <c r="D582" i="4"/>
  <c r="E582" i="4" s="1"/>
  <c r="F581" i="4"/>
  <c r="D581" i="4"/>
  <c r="E581" i="4" s="1"/>
  <c r="F580" i="4"/>
  <c r="D580" i="4"/>
  <c r="E580" i="4" s="1"/>
  <c r="F579" i="4"/>
  <c r="D579" i="4"/>
  <c r="E579" i="4" s="1"/>
  <c r="F578" i="4"/>
  <c r="D578" i="4"/>
  <c r="E578" i="4" s="1"/>
  <c r="F577" i="4"/>
  <c r="D577" i="4"/>
  <c r="E577" i="4" s="1"/>
  <c r="F576" i="4"/>
  <c r="D576" i="4"/>
  <c r="E576" i="4" s="1"/>
  <c r="F575" i="4"/>
  <c r="D575" i="4"/>
  <c r="E575" i="4" s="1"/>
  <c r="F574" i="4"/>
  <c r="D574" i="4"/>
  <c r="E574" i="4" s="1"/>
  <c r="F573" i="4"/>
  <c r="D573" i="4"/>
  <c r="E573" i="4" s="1"/>
  <c r="F572" i="4"/>
  <c r="D572" i="4"/>
  <c r="E572" i="4" s="1"/>
  <c r="F571" i="4"/>
  <c r="D571" i="4"/>
  <c r="E571" i="4" s="1"/>
  <c r="F570" i="4"/>
  <c r="D570" i="4"/>
  <c r="E570" i="4" s="1"/>
  <c r="F569" i="4"/>
  <c r="D569" i="4"/>
  <c r="E569" i="4" s="1"/>
  <c r="F568" i="4"/>
  <c r="D568" i="4"/>
  <c r="E568" i="4" s="1"/>
  <c r="F567" i="4"/>
  <c r="D567" i="4"/>
  <c r="E567" i="4" s="1"/>
  <c r="F566" i="4"/>
  <c r="D566" i="4"/>
  <c r="E566" i="4" s="1"/>
  <c r="F565" i="4"/>
  <c r="D565" i="4"/>
  <c r="E565" i="4" s="1"/>
  <c r="F564" i="4"/>
  <c r="D564" i="4"/>
  <c r="E564" i="4" s="1"/>
  <c r="F563" i="4"/>
  <c r="D563" i="4"/>
  <c r="E563" i="4" s="1"/>
  <c r="F562" i="4"/>
  <c r="D562" i="4"/>
  <c r="E562" i="4" s="1"/>
  <c r="F561" i="4"/>
  <c r="D561" i="4"/>
  <c r="E561" i="4" s="1"/>
  <c r="F560" i="4"/>
  <c r="D560" i="4"/>
  <c r="E560" i="4" s="1"/>
  <c r="F559" i="4"/>
  <c r="D559" i="4"/>
  <c r="E559" i="4" s="1"/>
  <c r="F558" i="4"/>
  <c r="D558" i="4"/>
  <c r="E558" i="4" s="1"/>
  <c r="F557" i="4"/>
  <c r="D557" i="4"/>
  <c r="E557" i="4" s="1"/>
  <c r="F556" i="4"/>
  <c r="D556" i="4"/>
  <c r="E556" i="4" s="1"/>
  <c r="F555" i="4"/>
  <c r="D555" i="4"/>
  <c r="E555" i="4" s="1"/>
  <c r="F554" i="4"/>
  <c r="D554" i="4"/>
  <c r="E554" i="4" s="1"/>
  <c r="F553" i="4"/>
  <c r="D553" i="4"/>
  <c r="E553" i="4" s="1"/>
  <c r="F552" i="4"/>
  <c r="D552" i="4"/>
  <c r="E552" i="4" s="1"/>
  <c r="F551" i="4"/>
  <c r="D551" i="4"/>
  <c r="E551" i="4" s="1"/>
  <c r="F550" i="4"/>
  <c r="D550" i="4"/>
  <c r="E550" i="4" s="1"/>
  <c r="F549" i="4"/>
  <c r="D549" i="4"/>
  <c r="E549" i="4" s="1"/>
  <c r="F548" i="4"/>
  <c r="D548" i="4"/>
  <c r="E548" i="4" s="1"/>
  <c r="F547" i="4"/>
  <c r="D547" i="4"/>
  <c r="E547" i="4" s="1"/>
  <c r="F546" i="4"/>
  <c r="D546" i="4"/>
  <c r="E546" i="4" s="1"/>
  <c r="F545" i="4"/>
  <c r="D545" i="4"/>
  <c r="E545" i="4" s="1"/>
  <c r="F544" i="4"/>
  <c r="D544" i="4"/>
  <c r="E544" i="4" s="1"/>
  <c r="F543" i="4"/>
  <c r="D543" i="4"/>
  <c r="E543" i="4" s="1"/>
  <c r="F542" i="4"/>
  <c r="D542" i="4"/>
  <c r="E542" i="4" s="1"/>
  <c r="F541" i="4"/>
  <c r="D541" i="4"/>
  <c r="E541" i="4" s="1"/>
  <c r="F540" i="4"/>
  <c r="D540" i="4"/>
  <c r="E540" i="4" s="1"/>
  <c r="F539" i="4"/>
  <c r="D539" i="4"/>
  <c r="E539" i="4" s="1"/>
  <c r="F538" i="4"/>
  <c r="D538" i="4"/>
  <c r="E538" i="4" s="1"/>
  <c r="F537" i="4"/>
  <c r="D537" i="4"/>
  <c r="E537" i="4" s="1"/>
  <c r="F536" i="4"/>
  <c r="D536" i="4"/>
  <c r="E536" i="4" s="1"/>
  <c r="F535" i="4"/>
  <c r="D535" i="4"/>
  <c r="E535" i="4" s="1"/>
  <c r="F534" i="4"/>
  <c r="D534" i="4"/>
  <c r="E534" i="4" s="1"/>
  <c r="F533" i="4"/>
  <c r="D533" i="4"/>
  <c r="E533" i="4" s="1"/>
  <c r="F532" i="4"/>
  <c r="D532" i="4"/>
  <c r="E532" i="4" s="1"/>
  <c r="F531" i="4"/>
  <c r="D531" i="4"/>
  <c r="E531" i="4" s="1"/>
  <c r="F530" i="4"/>
  <c r="D530" i="4"/>
  <c r="E530" i="4" s="1"/>
  <c r="F529" i="4"/>
  <c r="D529" i="4"/>
  <c r="E529" i="4" s="1"/>
  <c r="F528" i="4"/>
  <c r="D528" i="4"/>
  <c r="E528" i="4" s="1"/>
  <c r="F527" i="4"/>
  <c r="D527" i="4"/>
  <c r="E527" i="4" s="1"/>
  <c r="F526" i="4"/>
  <c r="D526" i="4"/>
  <c r="E526" i="4" s="1"/>
  <c r="F525" i="4"/>
  <c r="D525" i="4"/>
  <c r="E525" i="4" s="1"/>
  <c r="F524" i="4"/>
  <c r="D524" i="4"/>
  <c r="E524" i="4" s="1"/>
  <c r="F523" i="4"/>
  <c r="D523" i="4"/>
  <c r="E523" i="4" s="1"/>
  <c r="F522" i="4"/>
  <c r="D522" i="4"/>
  <c r="E522" i="4" s="1"/>
  <c r="F521" i="4"/>
  <c r="D521" i="4"/>
  <c r="E521" i="4" s="1"/>
  <c r="F520" i="4"/>
  <c r="D520" i="4"/>
  <c r="E520" i="4" s="1"/>
  <c r="F519" i="4"/>
  <c r="D519" i="4"/>
  <c r="E519" i="4" s="1"/>
  <c r="F518" i="4"/>
  <c r="D518" i="4"/>
  <c r="E518" i="4" s="1"/>
  <c r="F517" i="4"/>
  <c r="D517" i="4"/>
  <c r="E517" i="4" s="1"/>
  <c r="F516" i="4"/>
  <c r="D516" i="4"/>
  <c r="E516" i="4" s="1"/>
  <c r="F515" i="4"/>
  <c r="D515" i="4"/>
  <c r="E515" i="4" s="1"/>
  <c r="F514" i="4"/>
  <c r="D514" i="4"/>
  <c r="E514" i="4" s="1"/>
  <c r="F513" i="4"/>
  <c r="D513" i="4"/>
  <c r="E513" i="4" s="1"/>
  <c r="F512" i="4"/>
  <c r="D512" i="4"/>
  <c r="E512" i="4" s="1"/>
  <c r="F511" i="4"/>
  <c r="D511" i="4"/>
  <c r="E511" i="4" s="1"/>
  <c r="F510" i="4"/>
  <c r="D510" i="4"/>
  <c r="E510" i="4" s="1"/>
  <c r="F509" i="4"/>
  <c r="D509" i="4"/>
  <c r="E509" i="4" s="1"/>
  <c r="F508" i="4"/>
  <c r="D508" i="4"/>
  <c r="E508" i="4" s="1"/>
  <c r="F507" i="4"/>
  <c r="D507" i="4"/>
  <c r="E507" i="4" s="1"/>
  <c r="F506" i="4"/>
  <c r="D506" i="4"/>
  <c r="E506" i="4" s="1"/>
  <c r="F505" i="4"/>
  <c r="D505" i="4"/>
  <c r="E505" i="4" s="1"/>
  <c r="F504" i="4"/>
  <c r="D504" i="4"/>
  <c r="E504" i="4" s="1"/>
  <c r="F503" i="4"/>
  <c r="D503" i="4"/>
  <c r="E503" i="4" s="1"/>
  <c r="F502" i="4"/>
  <c r="D502" i="4"/>
  <c r="E502" i="4" s="1"/>
  <c r="F501" i="4"/>
  <c r="D501" i="4"/>
  <c r="E501" i="4" s="1"/>
  <c r="F500" i="4"/>
  <c r="D500" i="4"/>
  <c r="E500" i="4" s="1"/>
  <c r="F499" i="4"/>
  <c r="D499" i="4"/>
  <c r="E499" i="4" s="1"/>
  <c r="F498" i="4"/>
  <c r="D498" i="4"/>
  <c r="E498" i="4" s="1"/>
  <c r="F497" i="4"/>
  <c r="D497" i="4"/>
  <c r="E497" i="4" s="1"/>
  <c r="F496" i="4"/>
  <c r="D496" i="4"/>
  <c r="E496" i="4" s="1"/>
  <c r="F495" i="4"/>
  <c r="D495" i="4"/>
  <c r="E495" i="4" s="1"/>
  <c r="F494" i="4"/>
  <c r="D494" i="4"/>
  <c r="E494" i="4" s="1"/>
  <c r="F493" i="4"/>
  <c r="D493" i="4"/>
  <c r="E493" i="4" s="1"/>
  <c r="F492" i="4"/>
  <c r="D492" i="4"/>
  <c r="E492" i="4" s="1"/>
  <c r="F491" i="4"/>
  <c r="D491" i="4"/>
  <c r="E491" i="4" s="1"/>
  <c r="F490" i="4"/>
  <c r="D490" i="4"/>
  <c r="E490" i="4" s="1"/>
  <c r="F489" i="4"/>
  <c r="D489" i="4"/>
  <c r="E489" i="4" s="1"/>
  <c r="F488" i="4"/>
  <c r="D488" i="4"/>
  <c r="E488" i="4" s="1"/>
  <c r="F487" i="4"/>
  <c r="D487" i="4"/>
  <c r="E487" i="4" s="1"/>
  <c r="F486" i="4"/>
  <c r="D486" i="4"/>
  <c r="E486" i="4" s="1"/>
  <c r="F485" i="4"/>
  <c r="D485" i="4"/>
  <c r="E485" i="4" s="1"/>
  <c r="F484" i="4"/>
  <c r="D484" i="4"/>
  <c r="E484" i="4" s="1"/>
  <c r="F483" i="4"/>
  <c r="D483" i="4"/>
  <c r="E483" i="4" s="1"/>
  <c r="F482" i="4"/>
  <c r="D482" i="4"/>
  <c r="E482" i="4" s="1"/>
  <c r="F481" i="4"/>
  <c r="D481" i="4"/>
  <c r="E481" i="4" s="1"/>
  <c r="F480" i="4"/>
  <c r="D480" i="4"/>
  <c r="E480" i="4" s="1"/>
  <c r="F479" i="4"/>
  <c r="D479" i="4"/>
  <c r="E479" i="4" s="1"/>
  <c r="F478" i="4"/>
  <c r="D478" i="4"/>
  <c r="E478" i="4" s="1"/>
  <c r="F477" i="4"/>
  <c r="D477" i="4"/>
  <c r="E477" i="4" s="1"/>
  <c r="F476" i="4"/>
  <c r="D476" i="4"/>
  <c r="E476" i="4" s="1"/>
  <c r="F475" i="4"/>
  <c r="D475" i="4"/>
  <c r="E475" i="4" s="1"/>
  <c r="F474" i="4"/>
  <c r="D474" i="4"/>
  <c r="E474" i="4" s="1"/>
  <c r="F473" i="4"/>
  <c r="D473" i="4"/>
  <c r="E473" i="4" s="1"/>
  <c r="F472" i="4"/>
  <c r="D472" i="4"/>
  <c r="E472" i="4" s="1"/>
  <c r="F471" i="4"/>
  <c r="D471" i="4"/>
  <c r="E471" i="4" s="1"/>
  <c r="F470" i="4"/>
  <c r="D470" i="4"/>
  <c r="E470" i="4" s="1"/>
  <c r="F469" i="4"/>
  <c r="D469" i="4"/>
  <c r="E469" i="4" s="1"/>
  <c r="F468" i="4"/>
  <c r="D468" i="4"/>
  <c r="E468" i="4" s="1"/>
  <c r="F467" i="4"/>
  <c r="D467" i="4"/>
  <c r="E467" i="4" s="1"/>
  <c r="F466" i="4"/>
  <c r="D466" i="4"/>
  <c r="E466" i="4" s="1"/>
  <c r="F465" i="4"/>
  <c r="D465" i="4"/>
  <c r="E465" i="4" s="1"/>
  <c r="F464" i="4"/>
  <c r="D464" i="4"/>
  <c r="E464" i="4" s="1"/>
  <c r="F463" i="4"/>
  <c r="D463" i="4"/>
  <c r="E463" i="4" s="1"/>
  <c r="F462" i="4"/>
  <c r="D462" i="4"/>
  <c r="E462" i="4" s="1"/>
  <c r="F461" i="4"/>
  <c r="D461" i="4"/>
  <c r="E461" i="4" s="1"/>
  <c r="F460" i="4"/>
  <c r="D460" i="4"/>
  <c r="E460" i="4" s="1"/>
  <c r="F459" i="4"/>
  <c r="D459" i="4"/>
  <c r="E459" i="4" s="1"/>
  <c r="F458" i="4"/>
  <c r="D458" i="4"/>
  <c r="E458" i="4" s="1"/>
  <c r="F457" i="4"/>
  <c r="D457" i="4"/>
  <c r="E457" i="4" s="1"/>
  <c r="F456" i="4"/>
  <c r="D456" i="4"/>
  <c r="E456" i="4" s="1"/>
  <c r="F455" i="4"/>
  <c r="D455" i="4"/>
  <c r="E455" i="4" s="1"/>
  <c r="F454" i="4"/>
  <c r="D454" i="4"/>
  <c r="E454" i="4" s="1"/>
  <c r="F453" i="4"/>
  <c r="D453" i="4"/>
  <c r="E453" i="4" s="1"/>
  <c r="F452" i="4"/>
  <c r="D452" i="4"/>
  <c r="E452" i="4" s="1"/>
  <c r="F451" i="4"/>
  <c r="D451" i="4"/>
  <c r="E451" i="4" s="1"/>
  <c r="F450" i="4"/>
  <c r="D450" i="4"/>
  <c r="E450" i="4" s="1"/>
  <c r="F449" i="4"/>
  <c r="D449" i="4"/>
  <c r="E449" i="4" s="1"/>
  <c r="F448" i="4"/>
  <c r="D448" i="4"/>
  <c r="E448" i="4" s="1"/>
  <c r="F447" i="4"/>
  <c r="D447" i="4"/>
  <c r="E447" i="4" s="1"/>
  <c r="F446" i="4"/>
  <c r="D446" i="4"/>
  <c r="E446" i="4" s="1"/>
  <c r="F445" i="4"/>
  <c r="D445" i="4"/>
  <c r="E445" i="4" s="1"/>
  <c r="F444" i="4"/>
  <c r="D444" i="4"/>
  <c r="E444" i="4" s="1"/>
  <c r="F443" i="4"/>
  <c r="D443" i="4"/>
  <c r="E443" i="4" s="1"/>
  <c r="F442" i="4"/>
  <c r="D442" i="4"/>
  <c r="E442" i="4" s="1"/>
  <c r="F441" i="4"/>
  <c r="D441" i="4"/>
  <c r="E441" i="4" s="1"/>
  <c r="F440" i="4"/>
  <c r="D440" i="4"/>
  <c r="E440" i="4" s="1"/>
  <c r="F439" i="4"/>
  <c r="D439" i="4"/>
  <c r="E439" i="4" s="1"/>
  <c r="F438" i="4"/>
  <c r="D438" i="4"/>
  <c r="E438" i="4" s="1"/>
  <c r="F437" i="4"/>
  <c r="D437" i="4"/>
  <c r="E437" i="4" s="1"/>
  <c r="F436" i="4"/>
  <c r="D436" i="4"/>
  <c r="E436" i="4" s="1"/>
  <c r="F435" i="4"/>
  <c r="D435" i="4"/>
  <c r="E435" i="4" s="1"/>
  <c r="F434" i="4"/>
  <c r="D434" i="4"/>
  <c r="E434" i="4" s="1"/>
  <c r="F433" i="4"/>
  <c r="D433" i="4"/>
  <c r="E433" i="4" s="1"/>
  <c r="F432" i="4"/>
  <c r="D432" i="4"/>
  <c r="E432" i="4" s="1"/>
  <c r="F431" i="4"/>
  <c r="D431" i="4"/>
  <c r="E431" i="4" s="1"/>
  <c r="F430" i="4"/>
  <c r="D430" i="4"/>
  <c r="E430" i="4" s="1"/>
  <c r="F429" i="4"/>
  <c r="D429" i="4"/>
  <c r="E429" i="4" s="1"/>
  <c r="F428" i="4"/>
  <c r="D428" i="4"/>
  <c r="E428" i="4" s="1"/>
  <c r="F427" i="4"/>
  <c r="D427" i="4"/>
  <c r="E427" i="4" s="1"/>
  <c r="F426" i="4"/>
  <c r="D426" i="4"/>
  <c r="E426" i="4" s="1"/>
  <c r="F425" i="4"/>
  <c r="D425" i="4"/>
  <c r="E425" i="4" s="1"/>
  <c r="F424" i="4"/>
  <c r="D424" i="4"/>
  <c r="E424" i="4" s="1"/>
  <c r="F423" i="4"/>
  <c r="D423" i="4"/>
  <c r="E423" i="4" s="1"/>
  <c r="F422" i="4"/>
  <c r="D422" i="4"/>
  <c r="E422" i="4" s="1"/>
  <c r="F421" i="4"/>
  <c r="D421" i="4"/>
  <c r="E421" i="4" s="1"/>
  <c r="F420" i="4"/>
  <c r="D420" i="4"/>
  <c r="E420" i="4" s="1"/>
  <c r="F419" i="4"/>
  <c r="D419" i="4"/>
  <c r="E419" i="4" s="1"/>
  <c r="F418" i="4"/>
  <c r="D418" i="4"/>
  <c r="E418" i="4" s="1"/>
  <c r="F417" i="4"/>
  <c r="D417" i="4"/>
  <c r="E417" i="4" s="1"/>
  <c r="F416" i="4"/>
  <c r="D416" i="4"/>
  <c r="E416" i="4" s="1"/>
  <c r="F415" i="4"/>
  <c r="D415" i="4"/>
  <c r="E415" i="4" s="1"/>
  <c r="F414" i="4"/>
  <c r="D414" i="4"/>
  <c r="E414" i="4" s="1"/>
  <c r="F413" i="4"/>
  <c r="D413" i="4"/>
  <c r="E413" i="4" s="1"/>
  <c r="F412" i="4"/>
  <c r="D412" i="4"/>
  <c r="E412" i="4" s="1"/>
  <c r="F411" i="4"/>
  <c r="D411" i="4"/>
  <c r="E411" i="4" s="1"/>
  <c r="F410" i="4"/>
  <c r="D410" i="4"/>
  <c r="E410" i="4" s="1"/>
  <c r="F409" i="4"/>
  <c r="D409" i="4"/>
  <c r="E409" i="4" s="1"/>
  <c r="F408" i="4"/>
  <c r="D408" i="4"/>
  <c r="E408" i="4" s="1"/>
  <c r="F407" i="4"/>
  <c r="D407" i="4"/>
  <c r="E407" i="4" s="1"/>
  <c r="F406" i="4"/>
  <c r="D406" i="4"/>
  <c r="E406" i="4" s="1"/>
  <c r="F405" i="4"/>
  <c r="D405" i="4"/>
  <c r="E405" i="4" s="1"/>
  <c r="F404" i="4"/>
  <c r="D404" i="4"/>
  <c r="E404" i="4" s="1"/>
  <c r="F403" i="4"/>
  <c r="D403" i="4"/>
  <c r="E403" i="4" s="1"/>
  <c r="F402" i="4"/>
  <c r="D402" i="4"/>
  <c r="E402" i="4" s="1"/>
  <c r="F401" i="4"/>
  <c r="D401" i="4"/>
  <c r="E401" i="4" s="1"/>
  <c r="F400" i="4"/>
  <c r="D400" i="4"/>
  <c r="E400" i="4" s="1"/>
  <c r="F399" i="4"/>
  <c r="D399" i="4"/>
  <c r="E399" i="4" s="1"/>
  <c r="F398" i="4"/>
  <c r="D398" i="4"/>
  <c r="E398" i="4" s="1"/>
  <c r="F397" i="4"/>
  <c r="D397" i="4"/>
  <c r="E397" i="4" s="1"/>
  <c r="F396" i="4"/>
  <c r="D396" i="4"/>
  <c r="E396" i="4" s="1"/>
  <c r="F395" i="4"/>
  <c r="D395" i="4"/>
  <c r="E395" i="4" s="1"/>
  <c r="F394" i="4"/>
  <c r="D394" i="4"/>
  <c r="E394" i="4" s="1"/>
  <c r="F393" i="4"/>
  <c r="D393" i="4"/>
  <c r="E393" i="4" s="1"/>
  <c r="F392" i="4"/>
  <c r="D392" i="4"/>
  <c r="E392" i="4" s="1"/>
  <c r="F391" i="4"/>
  <c r="D391" i="4"/>
  <c r="E391" i="4" s="1"/>
  <c r="F390" i="4"/>
  <c r="D390" i="4"/>
  <c r="E390" i="4" s="1"/>
  <c r="F389" i="4"/>
  <c r="D389" i="4"/>
  <c r="E389" i="4" s="1"/>
  <c r="F388" i="4"/>
  <c r="D388" i="4"/>
  <c r="E388" i="4" s="1"/>
  <c r="F387" i="4"/>
  <c r="D387" i="4"/>
  <c r="E387" i="4" s="1"/>
  <c r="F386" i="4"/>
  <c r="D386" i="4"/>
  <c r="E386" i="4" s="1"/>
  <c r="F385" i="4"/>
  <c r="D385" i="4"/>
  <c r="E385" i="4" s="1"/>
  <c r="F384" i="4"/>
  <c r="D384" i="4"/>
  <c r="E384" i="4" s="1"/>
  <c r="F383" i="4"/>
  <c r="D383" i="4"/>
  <c r="E383" i="4" s="1"/>
  <c r="F382" i="4"/>
  <c r="D382" i="4"/>
  <c r="E382" i="4" s="1"/>
  <c r="F381" i="4"/>
  <c r="D381" i="4"/>
  <c r="E381" i="4" s="1"/>
  <c r="F380" i="4"/>
  <c r="D380" i="4"/>
  <c r="E380" i="4" s="1"/>
  <c r="F379" i="4"/>
  <c r="D379" i="4"/>
  <c r="E379" i="4" s="1"/>
  <c r="F378" i="4"/>
  <c r="D378" i="4"/>
  <c r="E378" i="4" s="1"/>
  <c r="F377" i="4"/>
  <c r="D377" i="4"/>
  <c r="E377" i="4" s="1"/>
  <c r="F376" i="4"/>
  <c r="D376" i="4"/>
  <c r="E376" i="4" s="1"/>
  <c r="F375" i="4"/>
  <c r="D375" i="4"/>
  <c r="E375" i="4" s="1"/>
  <c r="F374" i="4"/>
  <c r="D374" i="4"/>
  <c r="E374" i="4" s="1"/>
  <c r="F373" i="4"/>
  <c r="D373" i="4"/>
  <c r="E373" i="4" s="1"/>
  <c r="F372" i="4"/>
  <c r="D372" i="4"/>
  <c r="E372" i="4" s="1"/>
  <c r="F371" i="4"/>
  <c r="D371" i="4"/>
  <c r="E371" i="4" s="1"/>
  <c r="F370" i="4"/>
  <c r="D370" i="4"/>
  <c r="E370" i="4" s="1"/>
  <c r="F369" i="4"/>
  <c r="D369" i="4"/>
  <c r="E369" i="4" s="1"/>
  <c r="F368" i="4"/>
  <c r="D368" i="4"/>
  <c r="E368" i="4" s="1"/>
  <c r="F367" i="4"/>
  <c r="D367" i="4"/>
  <c r="E367" i="4" s="1"/>
  <c r="F366" i="4"/>
  <c r="D366" i="4"/>
  <c r="E366" i="4" s="1"/>
  <c r="F365" i="4"/>
  <c r="D365" i="4"/>
  <c r="E365" i="4" s="1"/>
  <c r="F364" i="4"/>
  <c r="D364" i="4"/>
  <c r="E364" i="4" s="1"/>
  <c r="F363" i="4"/>
  <c r="D363" i="4"/>
  <c r="E363" i="4" s="1"/>
  <c r="F362" i="4"/>
  <c r="D362" i="4"/>
  <c r="E362" i="4" s="1"/>
  <c r="F361" i="4"/>
  <c r="D361" i="4"/>
  <c r="E361" i="4" s="1"/>
  <c r="F360" i="4"/>
  <c r="D360" i="4"/>
  <c r="E360" i="4" s="1"/>
  <c r="F359" i="4"/>
  <c r="D359" i="4"/>
  <c r="E359" i="4" s="1"/>
  <c r="F358" i="4"/>
  <c r="D358" i="4"/>
  <c r="E358" i="4" s="1"/>
  <c r="F357" i="4"/>
  <c r="D357" i="4"/>
  <c r="E357" i="4" s="1"/>
  <c r="F356" i="4"/>
  <c r="D356" i="4"/>
  <c r="E356" i="4" s="1"/>
  <c r="F355" i="4"/>
  <c r="D355" i="4"/>
  <c r="E355" i="4" s="1"/>
  <c r="F354" i="4"/>
  <c r="D354" i="4"/>
  <c r="E354" i="4" s="1"/>
  <c r="F353" i="4"/>
  <c r="D353" i="4"/>
  <c r="E353" i="4" s="1"/>
  <c r="F352" i="4"/>
  <c r="D352" i="4"/>
  <c r="E352" i="4" s="1"/>
  <c r="F351" i="4"/>
  <c r="D351" i="4"/>
  <c r="E351" i="4" s="1"/>
  <c r="F350" i="4"/>
  <c r="D350" i="4"/>
  <c r="E350" i="4" s="1"/>
  <c r="F349" i="4"/>
  <c r="D349" i="4"/>
  <c r="E349" i="4" s="1"/>
  <c r="F348" i="4"/>
  <c r="D348" i="4"/>
  <c r="E348" i="4" s="1"/>
  <c r="F347" i="4"/>
  <c r="D347" i="4"/>
  <c r="E347" i="4" s="1"/>
  <c r="F346" i="4"/>
  <c r="D346" i="4"/>
  <c r="E346" i="4" s="1"/>
  <c r="F345" i="4"/>
  <c r="D345" i="4"/>
  <c r="E345" i="4" s="1"/>
  <c r="F344" i="4"/>
  <c r="D344" i="4"/>
  <c r="E344" i="4" s="1"/>
  <c r="F343" i="4"/>
  <c r="D343" i="4"/>
  <c r="E343" i="4" s="1"/>
  <c r="F342" i="4"/>
  <c r="D342" i="4"/>
  <c r="E342" i="4" s="1"/>
  <c r="F341" i="4"/>
  <c r="D341" i="4"/>
  <c r="E341" i="4" s="1"/>
  <c r="F340" i="4"/>
  <c r="D340" i="4"/>
  <c r="E340" i="4" s="1"/>
  <c r="F339" i="4"/>
  <c r="D339" i="4"/>
  <c r="E339" i="4" s="1"/>
  <c r="F338" i="4"/>
  <c r="D338" i="4"/>
  <c r="E338" i="4" s="1"/>
  <c r="F337" i="4"/>
  <c r="D337" i="4"/>
  <c r="E337" i="4" s="1"/>
  <c r="F336" i="4"/>
  <c r="D336" i="4"/>
  <c r="E336" i="4" s="1"/>
  <c r="F335" i="4"/>
  <c r="D335" i="4"/>
  <c r="E335" i="4" s="1"/>
  <c r="F334" i="4"/>
  <c r="D334" i="4"/>
  <c r="E334" i="4" s="1"/>
  <c r="F333" i="4"/>
  <c r="D333" i="4"/>
  <c r="E333" i="4" s="1"/>
  <c r="F332" i="4"/>
  <c r="D332" i="4"/>
  <c r="E332" i="4" s="1"/>
  <c r="F331" i="4"/>
  <c r="D331" i="4"/>
  <c r="E331" i="4" s="1"/>
  <c r="F330" i="4"/>
  <c r="D330" i="4"/>
  <c r="E330" i="4" s="1"/>
  <c r="F329" i="4"/>
  <c r="D329" i="4"/>
  <c r="E329" i="4" s="1"/>
  <c r="F328" i="4"/>
  <c r="D328" i="4"/>
  <c r="E328" i="4" s="1"/>
  <c r="F327" i="4"/>
  <c r="D327" i="4"/>
  <c r="E327" i="4" s="1"/>
  <c r="F326" i="4"/>
  <c r="D326" i="4"/>
  <c r="E326" i="4" s="1"/>
  <c r="F325" i="4"/>
  <c r="D325" i="4"/>
  <c r="E325" i="4" s="1"/>
  <c r="F324" i="4"/>
  <c r="D324" i="4"/>
  <c r="E324" i="4" s="1"/>
  <c r="F323" i="4"/>
  <c r="D323" i="4"/>
  <c r="E323" i="4" s="1"/>
  <c r="F322" i="4"/>
  <c r="D322" i="4"/>
  <c r="E322" i="4" s="1"/>
  <c r="F321" i="4"/>
  <c r="D321" i="4"/>
  <c r="E321" i="4" s="1"/>
  <c r="F320" i="4"/>
  <c r="D320" i="4"/>
  <c r="E320" i="4" s="1"/>
  <c r="F319" i="4"/>
  <c r="D319" i="4"/>
  <c r="E319" i="4" s="1"/>
  <c r="F318" i="4"/>
  <c r="D318" i="4"/>
  <c r="E318" i="4" s="1"/>
  <c r="F317" i="4"/>
  <c r="D317" i="4"/>
  <c r="E317" i="4" s="1"/>
  <c r="F316" i="4"/>
  <c r="D316" i="4"/>
  <c r="E316" i="4" s="1"/>
  <c r="F315" i="4"/>
  <c r="D315" i="4"/>
  <c r="E315" i="4" s="1"/>
  <c r="F314" i="4"/>
  <c r="D314" i="4"/>
  <c r="E314" i="4" s="1"/>
  <c r="F313" i="4"/>
  <c r="D313" i="4"/>
  <c r="E313" i="4" s="1"/>
  <c r="F312" i="4"/>
  <c r="D312" i="4"/>
  <c r="E312" i="4" s="1"/>
  <c r="F311" i="4"/>
  <c r="D311" i="4"/>
  <c r="E311" i="4" s="1"/>
  <c r="F310" i="4"/>
  <c r="D310" i="4"/>
  <c r="E310" i="4" s="1"/>
  <c r="F309" i="4"/>
  <c r="D309" i="4"/>
  <c r="E309" i="4" s="1"/>
  <c r="F308" i="4"/>
  <c r="D308" i="4"/>
  <c r="E308" i="4" s="1"/>
  <c r="F307" i="4"/>
  <c r="D307" i="4"/>
  <c r="E307" i="4" s="1"/>
  <c r="F306" i="4"/>
  <c r="D306" i="4"/>
  <c r="E306" i="4" s="1"/>
  <c r="F305" i="4"/>
  <c r="D305" i="4"/>
  <c r="E305" i="4" s="1"/>
  <c r="F304" i="4"/>
  <c r="D304" i="4"/>
  <c r="E304" i="4" s="1"/>
  <c r="F303" i="4"/>
  <c r="D303" i="4"/>
  <c r="E303" i="4" s="1"/>
  <c r="F302" i="4"/>
  <c r="D302" i="4"/>
  <c r="E302" i="4" s="1"/>
  <c r="F301" i="4"/>
  <c r="D301" i="4"/>
  <c r="E301" i="4" s="1"/>
  <c r="F300" i="4"/>
  <c r="D300" i="4"/>
  <c r="E300" i="4" s="1"/>
  <c r="F299" i="4"/>
  <c r="D299" i="4"/>
  <c r="E299" i="4" s="1"/>
  <c r="F298" i="4"/>
  <c r="D298" i="4"/>
  <c r="E298" i="4" s="1"/>
  <c r="F297" i="4"/>
  <c r="D297" i="4"/>
  <c r="E297" i="4" s="1"/>
  <c r="F296" i="4"/>
  <c r="D296" i="4"/>
  <c r="E296" i="4" s="1"/>
  <c r="F295" i="4"/>
  <c r="D295" i="4"/>
  <c r="E295" i="4" s="1"/>
  <c r="F294" i="4"/>
  <c r="D294" i="4"/>
  <c r="E294" i="4" s="1"/>
  <c r="F293" i="4"/>
  <c r="D293" i="4"/>
  <c r="E293" i="4" s="1"/>
  <c r="F292" i="4"/>
  <c r="D292" i="4"/>
  <c r="E292" i="4" s="1"/>
  <c r="F291" i="4"/>
  <c r="D291" i="4"/>
  <c r="E291" i="4" s="1"/>
  <c r="F290" i="4"/>
  <c r="D290" i="4"/>
  <c r="E290" i="4" s="1"/>
  <c r="F289" i="4"/>
  <c r="D289" i="4"/>
  <c r="E289" i="4" s="1"/>
  <c r="F288" i="4"/>
  <c r="D288" i="4"/>
  <c r="E288" i="4" s="1"/>
  <c r="F287" i="4"/>
  <c r="D287" i="4"/>
  <c r="E287" i="4" s="1"/>
  <c r="F286" i="4"/>
  <c r="D286" i="4"/>
  <c r="E286" i="4" s="1"/>
  <c r="F285" i="4"/>
  <c r="D285" i="4"/>
  <c r="E285" i="4" s="1"/>
  <c r="F284" i="4"/>
  <c r="D284" i="4"/>
  <c r="E284" i="4" s="1"/>
  <c r="F283" i="4"/>
  <c r="D283" i="4"/>
  <c r="E283" i="4" s="1"/>
  <c r="F282" i="4"/>
  <c r="D282" i="4"/>
  <c r="E282" i="4" s="1"/>
  <c r="F281" i="4"/>
  <c r="D281" i="4"/>
  <c r="E281" i="4" s="1"/>
  <c r="F280" i="4"/>
  <c r="D280" i="4"/>
  <c r="E280" i="4" s="1"/>
  <c r="F279" i="4"/>
  <c r="D279" i="4"/>
  <c r="E279" i="4" s="1"/>
  <c r="F278" i="4"/>
  <c r="D278" i="4"/>
  <c r="E278" i="4" s="1"/>
  <c r="F277" i="4"/>
  <c r="D277" i="4"/>
  <c r="E277" i="4" s="1"/>
  <c r="F276" i="4"/>
  <c r="D276" i="4"/>
  <c r="E276" i="4" s="1"/>
  <c r="F275" i="4"/>
  <c r="D275" i="4"/>
  <c r="E275" i="4" s="1"/>
  <c r="F274" i="4"/>
  <c r="D274" i="4"/>
  <c r="E274" i="4" s="1"/>
  <c r="F273" i="4"/>
  <c r="D273" i="4"/>
  <c r="E273" i="4" s="1"/>
  <c r="F272" i="4"/>
  <c r="D272" i="4"/>
  <c r="E272" i="4" s="1"/>
  <c r="F271" i="4"/>
  <c r="D271" i="4"/>
  <c r="E271" i="4" s="1"/>
  <c r="F270" i="4"/>
  <c r="D270" i="4"/>
  <c r="E270" i="4" s="1"/>
  <c r="F269" i="4"/>
  <c r="D269" i="4"/>
  <c r="E269" i="4" s="1"/>
  <c r="F268" i="4"/>
  <c r="D268" i="4"/>
  <c r="E268" i="4" s="1"/>
  <c r="F267" i="4"/>
  <c r="D267" i="4"/>
  <c r="E267" i="4" s="1"/>
  <c r="F266" i="4"/>
  <c r="D266" i="4"/>
  <c r="E266" i="4" s="1"/>
  <c r="F265" i="4"/>
  <c r="D265" i="4"/>
  <c r="E265" i="4" s="1"/>
  <c r="F264" i="4"/>
  <c r="D264" i="4"/>
  <c r="E264" i="4" s="1"/>
  <c r="F263" i="4"/>
  <c r="D263" i="4"/>
  <c r="E263" i="4" s="1"/>
  <c r="F262" i="4"/>
  <c r="D262" i="4"/>
  <c r="E262" i="4" s="1"/>
  <c r="F261" i="4"/>
  <c r="D261" i="4"/>
  <c r="E261" i="4" s="1"/>
  <c r="F260" i="4"/>
  <c r="D260" i="4"/>
  <c r="E260" i="4" s="1"/>
  <c r="F259" i="4"/>
  <c r="D259" i="4"/>
  <c r="E259" i="4" s="1"/>
  <c r="F258" i="4"/>
  <c r="D258" i="4"/>
  <c r="E258" i="4" s="1"/>
  <c r="F257" i="4"/>
  <c r="D257" i="4"/>
  <c r="E257" i="4" s="1"/>
  <c r="F256" i="4"/>
  <c r="D256" i="4"/>
  <c r="E256" i="4" s="1"/>
  <c r="F255" i="4"/>
  <c r="D255" i="4"/>
  <c r="E255" i="4" s="1"/>
  <c r="F254" i="4"/>
  <c r="D254" i="4"/>
  <c r="E254" i="4" s="1"/>
  <c r="F253" i="4"/>
  <c r="D253" i="4"/>
  <c r="E253" i="4" s="1"/>
  <c r="F252" i="4"/>
  <c r="D252" i="4"/>
  <c r="E252" i="4" s="1"/>
  <c r="F251" i="4"/>
  <c r="D251" i="4"/>
  <c r="E251" i="4" s="1"/>
  <c r="F250" i="4"/>
  <c r="D250" i="4"/>
  <c r="E250" i="4" s="1"/>
  <c r="F249" i="4"/>
  <c r="D249" i="4"/>
  <c r="E249" i="4" s="1"/>
  <c r="F248" i="4"/>
  <c r="D248" i="4"/>
  <c r="E248" i="4" s="1"/>
  <c r="F247" i="4"/>
  <c r="D247" i="4"/>
  <c r="E247" i="4" s="1"/>
  <c r="F246" i="4"/>
  <c r="D246" i="4"/>
  <c r="E246" i="4" s="1"/>
  <c r="F245" i="4"/>
  <c r="D245" i="4"/>
  <c r="E245" i="4" s="1"/>
  <c r="F244" i="4"/>
  <c r="D244" i="4"/>
  <c r="E244" i="4" s="1"/>
  <c r="F243" i="4"/>
  <c r="D243" i="4"/>
  <c r="E243" i="4" s="1"/>
  <c r="F242" i="4"/>
  <c r="D242" i="4"/>
  <c r="E242" i="4" s="1"/>
  <c r="F241" i="4"/>
  <c r="D241" i="4"/>
  <c r="E241" i="4" s="1"/>
  <c r="F240" i="4"/>
  <c r="D240" i="4"/>
  <c r="E240" i="4" s="1"/>
  <c r="F239" i="4"/>
  <c r="D239" i="4"/>
  <c r="E239" i="4" s="1"/>
  <c r="F238" i="4"/>
  <c r="D238" i="4"/>
  <c r="E238" i="4" s="1"/>
  <c r="F237" i="4"/>
  <c r="D237" i="4"/>
  <c r="E237" i="4" s="1"/>
  <c r="F236" i="4"/>
  <c r="D236" i="4"/>
  <c r="E236" i="4" s="1"/>
  <c r="F235" i="4"/>
  <c r="D235" i="4"/>
  <c r="E235" i="4" s="1"/>
  <c r="F234" i="4"/>
  <c r="D234" i="4"/>
  <c r="E234" i="4" s="1"/>
  <c r="F233" i="4"/>
  <c r="D233" i="4"/>
  <c r="E233" i="4" s="1"/>
  <c r="F232" i="4"/>
  <c r="D232" i="4"/>
  <c r="E232" i="4" s="1"/>
  <c r="F231" i="4"/>
  <c r="D231" i="4"/>
  <c r="E231" i="4" s="1"/>
  <c r="F230" i="4"/>
  <c r="D230" i="4"/>
  <c r="E230" i="4" s="1"/>
  <c r="F229" i="4"/>
  <c r="D229" i="4"/>
  <c r="E229" i="4" s="1"/>
  <c r="F228" i="4"/>
  <c r="D228" i="4"/>
  <c r="E228" i="4" s="1"/>
  <c r="F227" i="4"/>
  <c r="D227" i="4"/>
  <c r="E227" i="4" s="1"/>
  <c r="F226" i="4"/>
  <c r="D226" i="4"/>
  <c r="E226" i="4" s="1"/>
  <c r="F225" i="4"/>
  <c r="D225" i="4"/>
  <c r="E225" i="4" s="1"/>
  <c r="F224" i="4"/>
  <c r="D224" i="4"/>
  <c r="E224" i="4" s="1"/>
  <c r="F223" i="4"/>
  <c r="D223" i="4"/>
  <c r="E223" i="4" s="1"/>
  <c r="F222" i="4"/>
  <c r="D222" i="4"/>
  <c r="E222" i="4" s="1"/>
  <c r="F221" i="4"/>
  <c r="D221" i="4"/>
  <c r="E221" i="4" s="1"/>
  <c r="F220" i="4"/>
  <c r="D220" i="4"/>
  <c r="E220" i="4" s="1"/>
  <c r="F219" i="4"/>
  <c r="D219" i="4"/>
  <c r="E219" i="4" s="1"/>
  <c r="F218" i="4"/>
  <c r="D218" i="4"/>
  <c r="E218" i="4" s="1"/>
  <c r="F217" i="4"/>
  <c r="D217" i="4"/>
  <c r="E217" i="4" s="1"/>
  <c r="F216" i="4"/>
  <c r="D216" i="4"/>
  <c r="E216" i="4" s="1"/>
  <c r="F215" i="4"/>
  <c r="D215" i="4"/>
  <c r="E215" i="4" s="1"/>
  <c r="F214" i="4"/>
  <c r="D214" i="4"/>
  <c r="E214" i="4" s="1"/>
  <c r="F213" i="4"/>
  <c r="D213" i="4"/>
  <c r="E213" i="4" s="1"/>
  <c r="F212" i="4"/>
  <c r="D212" i="4"/>
  <c r="E212" i="4" s="1"/>
  <c r="F211" i="4"/>
  <c r="D211" i="4"/>
  <c r="E211" i="4" s="1"/>
  <c r="F210" i="4"/>
  <c r="D210" i="4"/>
  <c r="E210" i="4" s="1"/>
  <c r="F209" i="4"/>
  <c r="D209" i="4"/>
  <c r="E209" i="4" s="1"/>
  <c r="F208" i="4"/>
  <c r="D208" i="4"/>
  <c r="E208" i="4" s="1"/>
  <c r="F207" i="4"/>
  <c r="D207" i="4"/>
  <c r="E207" i="4" s="1"/>
  <c r="F206" i="4"/>
  <c r="D206" i="4"/>
  <c r="E206" i="4" s="1"/>
  <c r="F205" i="4"/>
  <c r="D205" i="4"/>
  <c r="E205" i="4" s="1"/>
  <c r="F204" i="4"/>
  <c r="D204" i="4"/>
  <c r="E204" i="4" s="1"/>
  <c r="F203" i="4"/>
  <c r="D203" i="4"/>
  <c r="E203" i="4" s="1"/>
  <c r="F202" i="4"/>
  <c r="D202" i="4"/>
  <c r="E202" i="4" s="1"/>
  <c r="F201" i="4"/>
  <c r="D201" i="4"/>
  <c r="E201" i="4" s="1"/>
  <c r="F200" i="4"/>
  <c r="D200" i="4"/>
  <c r="E200" i="4" s="1"/>
  <c r="F199" i="4"/>
  <c r="D199" i="4"/>
  <c r="E199" i="4" s="1"/>
  <c r="F198" i="4"/>
  <c r="D198" i="4"/>
  <c r="E198" i="4" s="1"/>
  <c r="F197" i="4"/>
  <c r="D197" i="4"/>
  <c r="E197" i="4" s="1"/>
  <c r="F196" i="4"/>
  <c r="D196" i="4"/>
  <c r="E196" i="4" s="1"/>
  <c r="F195" i="4"/>
  <c r="D195" i="4"/>
  <c r="E195" i="4" s="1"/>
  <c r="F194" i="4"/>
  <c r="D194" i="4"/>
  <c r="E194" i="4" s="1"/>
  <c r="F193" i="4"/>
  <c r="D193" i="4"/>
  <c r="E193" i="4" s="1"/>
  <c r="F192" i="4"/>
  <c r="D192" i="4"/>
  <c r="E192" i="4" s="1"/>
  <c r="F191" i="4"/>
  <c r="D191" i="4"/>
  <c r="E191" i="4" s="1"/>
  <c r="F190" i="4"/>
  <c r="D190" i="4"/>
  <c r="E190" i="4" s="1"/>
  <c r="F189" i="4"/>
  <c r="D189" i="4"/>
  <c r="E189" i="4" s="1"/>
  <c r="F188" i="4"/>
  <c r="D188" i="4"/>
  <c r="E188" i="4" s="1"/>
  <c r="F187" i="4"/>
  <c r="D187" i="4"/>
  <c r="E187" i="4" s="1"/>
  <c r="F186" i="4"/>
  <c r="D186" i="4"/>
  <c r="E186" i="4" s="1"/>
  <c r="F185" i="4"/>
  <c r="D185" i="4"/>
  <c r="E185" i="4" s="1"/>
  <c r="F184" i="4"/>
  <c r="D184" i="4"/>
  <c r="E184" i="4" s="1"/>
  <c r="F183" i="4"/>
  <c r="D183" i="4"/>
  <c r="E183" i="4" s="1"/>
  <c r="F182" i="4"/>
  <c r="D182" i="4"/>
  <c r="E182" i="4" s="1"/>
  <c r="F181" i="4"/>
  <c r="D181" i="4"/>
  <c r="E181" i="4" s="1"/>
  <c r="F180" i="4"/>
  <c r="D180" i="4"/>
  <c r="E180" i="4" s="1"/>
  <c r="F179" i="4"/>
  <c r="D179" i="4"/>
  <c r="E179" i="4" s="1"/>
  <c r="F178" i="4"/>
  <c r="D178" i="4"/>
  <c r="E178" i="4" s="1"/>
  <c r="F177" i="4"/>
  <c r="D177" i="4"/>
  <c r="E177" i="4" s="1"/>
  <c r="F176" i="4"/>
  <c r="D176" i="4"/>
  <c r="E176" i="4" s="1"/>
  <c r="F175" i="4"/>
  <c r="D175" i="4"/>
  <c r="E175" i="4" s="1"/>
  <c r="F174" i="4"/>
  <c r="D174" i="4"/>
  <c r="E174" i="4" s="1"/>
  <c r="F173" i="4"/>
  <c r="D173" i="4"/>
  <c r="E173" i="4" s="1"/>
  <c r="F172" i="4"/>
  <c r="D172" i="4"/>
  <c r="E172" i="4" s="1"/>
  <c r="F171" i="4"/>
  <c r="D171" i="4"/>
  <c r="E171" i="4" s="1"/>
  <c r="F170" i="4"/>
  <c r="D170" i="4"/>
  <c r="E170" i="4" s="1"/>
  <c r="F169" i="4"/>
  <c r="D169" i="4"/>
  <c r="E169" i="4" s="1"/>
  <c r="F168" i="4"/>
  <c r="D168" i="4"/>
  <c r="E168" i="4" s="1"/>
  <c r="F167" i="4"/>
  <c r="D167" i="4"/>
  <c r="E167" i="4" s="1"/>
  <c r="F166" i="4"/>
  <c r="D166" i="4"/>
  <c r="E166" i="4" s="1"/>
  <c r="F165" i="4"/>
  <c r="D165" i="4"/>
  <c r="E165" i="4" s="1"/>
  <c r="F164" i="4"/>
  <c r="D164" i="4"/>
  <c r="E164" i="4" s="1"/>
  <c r="F163" i="4"/>
  <c r="D163" i="4"/>
  <c r="E163" i="4" s="1"/>
  <c r="F162" i="4"/>
  <c r="D162" i="4"/>
  <c r="E162" i="4" s="1"/>
  <c r="F161" i="4"/>
  <c r="D161" i="4"/>
  <c r="E161" i="4" s="1"/>
  <c r="F160" i="4"/>
  <c r="D160" i="4"/>
  <c r="E160" i="4" s="1"/>
  <c r="F159" i="4"/>
  <c r="D159" i="4"/>
  <c r="E159" i="4" s="1"/>
  <c r="F158" i="4"/>
  <c r="D158" i="4"/>
  <c r="E158" i="4" s="1"/>
  <c r="F157" i="4"/>
  <c r="D157" i="4"/>
  <c r="E157" i="4" s="1"/>
  <c r="F156" i="4"/>
  <c r="D156" i="4"/>
  <c r="E156" i="4" s="1"/>
  <c r="F155" i="4"/>
  <c r="D155" i="4"/>
  <c r="E155" i="4" s="1"/>
  <c r="F154" i="4"/>
  <c r="D154" i="4"/>
  <c r="E154" i="4" s="1"/>
  <c r="F153" i="4"/>
  <c r="D153" i="4"/>
  <c r="E153" i="4" s="1"/>
  <c r="F152" i="4"/>
  <c r="D152" i="4"/>
  <c r="E152" i="4" s="1"/>
  <c r="F151" i="4"/>
  <c r="D151" i="4"/>
  <c r="E151" i="4" s="1"/>
  <c r="F150" i="4"/>
  <c r="D150" i="4"/>
  <c r="E150" i="4" s="1"/>
  <c r="F149" i="4"/>
  <c r="D149" i="4"/>
  <c r="E149" i="4" s="1"/>
  <c r="F148" i="4"/>
  <c r="D148" i="4"/>
  <c r="E148" i="4" s="1"/>
  <c r="F147" i="4"/>
  <c r="D147" i="4"/>
  <c r="E147" i="4" s="1"/>
  <c r="F146" i="4"/>
  <c r="D146" i="4"/>
  <c r="E146" i="4" s="1"/>
  <c r="F145" i="4"/>
  <c r="D145" i="4"/>
  <c r="E145" i="4" s="1"/>
  <c r="F144" i="4"/>
  <c r="D144" i="4"/>
  <c r="E144" i="4" s="1"/>
  <c r="F143" i="4"/>
  <c r="D143" i="4"/>
  <c r="E143" i="4" s="1"/>
  <c r="F142" i="4"/>
  <c r="D142" i="4"/>
  <c r="E142" i="4" s="1"/>
  <c r="F141" i="4"/>
  <c r="D141" i="4"/>
  <c r="E141" i="4" s="1"/>
  <c r="F140" i="4"/>
  <c r="D140" i="4"/>
  <c r="E140" i="4" s="1"/>
  <c r="F139" i="4"/>
  <c r="D139" i="4"/>
  <c r="E139" i="4" s="1"/>
  <c r="F138" i="4"/>
  <c r="D138" i="4"/>
  <c r="E138" i="4" s="1"/>
  <c r="F137" i="4"/>
  <c r="D137" i="4"/>
  <c r="E137" i="4" s="1"/>
  <c r="F136" i="4"/>
  <c r="D136" i="4"/>
  <c r="E136" i="4" s="1"/>
  <c r="F135" i="4"/>
  <c r="D135" i="4"/>
  <c r="E135" i="4" s="1"/>
  <c r="F134" i="4"/>
  <c r="D134" i="4"/>
  <c r="E134" i="4" s="1"/>
  <c r="F133" i="4"/>
  <c r="D133" i="4"/>
  <c r="E133" i="4" s="1"/>
  <c r="F132" i="4"/>
  <c r="D132" i="4"/>
  <c r="E132" i="4" s="1"/>
  <c r="F131" i="4"/>
  <c r="D131" i="4"/>
  <c r="E131" i="4" s="1"/>
  <c r="F130" i="4"/>
  <c r="D130" i="4"/>
  <c r="E130" i="4" s="1"/>
  <c r="F129" i="4"/>
  <c r="D129" i="4"/>
  <c r="E129" i="4" s="1"/>
  <c r="F128" i="4"/>
  <c r="D128" i="4"/>
  <c r="E128" i="4" s="1"/>
  <c r="F127" i="4"/>
  <c r="D127" i="4"/>
  <c r="E127" i="4" s="1"/>
  <c r="F126" i="4"/>
  <c r="D126" i="4"/>
  <c r="E126" i="4" s="1"/>
  <c r="F125" i="4"/>
  <c r="D125" i="4"/>
  <c r="E125" i="4" s="1"/>
  <c r="F124" i="4"/>
  <c r="D124" i="4"/>
  <c r="E124" i="4" s="1"/>
  <c r="F123" i="4"/>
  <c r="D123" i="4"/>
  <c r="E123" i="4" s="1"/>
  <c r="F122" i="4"/>
  <c r="D122" i="4"/>
  <c r="E122" i="4" s="1"/>
  <c r="F121" i="4"/>
  <c r="D121" i="4"/>
  <c r="E121" i="4" s="1"/>
  <c r="F120" i="4"/>
  <c r="D120" i="4"/>
  <c r="E120" i="4" s="1"/>
  <c r="F119" i="4"/>
  <c r="D119" i="4"/>
  <c r="E119" i="4" s="1"/>
  <c r="F118" i="4"/>
  <c r="D118" i="4"/>
  <c r="E118" i="4" s="1"/>
  <c r="F117" i="4"/>
  <c r="D117" i="4"/>
  <c r="E117" i="4" s="1"/>
  <c r="F116" i="4"/>
  <c r="D116" i="4"/>
  <c r="E116" i="4" s="1"/>
  <c r="F115" i="4"/>
  <c r="D115" i="4"/>
  <c r="E115" i="4" s="1"/>
  <c r="F114" i="4"/>
  <c r="D114" i="4"/>
  <c r="E114" i="4" s="1"/>
  <c r="F113" i="4"/>
  <c r="D113" i="4"/>
  <c r="E113" i="4" s="1"/>
  <c r="F112" i="4"/>
  <c r="D112" i="4"/>
  <c r="E112" i="4" s="1"/>
  <c r="F111" i="4"/>
  <c r="D111" i="4"/>
  <c r="E111" i="4" s="1"/>
  <c r="F110" i="4"/>
  <c r="D110" i="4"/>
  <c r="E110" i="4" s="1"/>
  <c r="F109" i="4"/>
  <c r="D109" i="4"/>
  <c r="E109" i="4" s="1"/>
  <c r="F108" i="4"/>
  <c r="D108" i="4"/>
  <c r="E108" i="4" s="1"/>
  <c r="F107" i="4"/>
  <c r="D107" i="4"/>
  <c r="E107" i="4" s="1"/>
  <c r="F106" i="4"/>
  <c r="D106" i="4"/>
  <c r="E106" i="4" s="1"/>
  <c r="F105" i="4"/>
  <c r="D105" i="4"/>
  <c r="E105" i="4" s="1"/>
  <c r="F104" i="4"/>
  <c r="D104" i="4"/>
  <c r="E104" i="4" s="1"/>
  <c r="F103" i="4"/>
  <c r="D103" i="4"/>
  <c r="E103" i="4" s="1"/>
  <c r="F102" i="4"/>
  <c r="D102" i="4"/>
  <c r="E102" i="4" s="1"/>
  <c r="F101" i="4"/>
  <c r="D101" i="4"/>
  <c r="E101" i="4" s="1"/>
  <c r="F100" i="4"/>
  <c r="D100" i="4"/>
  <c r="E100" i="4" s="1"/>
  <c r="F99" i="4"/>
  <c r="D99" i="4"/>
  <c r="E99" i="4" s="1"/>
  <c r="F98" i="4"/>
  <c r="D98" i="4"/>
  <c r="E98" i="4" s="1"/>
  <c r="F97" i="4"/>
  <c r="D97" i="4"/>
  <c r="E97" i="4" s="1"/>
  <c r="F96" i="4"/>
  <c r="D96" i="4"/>
  <c r="E96" i="4" s="1"/>
  <c r="F95" i="4"/>
  <c r="D95" i="4"/>
  <c r="E95" i="4" s="1"/>
  <c r="F94" i="4"/>
  <c r="D94" i="4"/>
  <c r="E94" i="4" s="1"/>
  <c r="F93" i="4"/>
  <c r="D93" i="4"/>
  <c r="E93" i="4" s="1"/>
  <c r="F92" i="4"/>
  <c r="D92" i="4"/>
  <c r="E92" i="4" s="1"/>
  <c r="F91" i="4"/>
  <c r="D91" i="4"/>
  <c r="E91" i="4" s="1"/>
  <c r="F90" i="4"/>
  <c r="D90" i="4"/>
  <c r="E90" i="4" s="1"/>
  <c r="F89" i="4"/>
  <c r="D89" i="4"/>
  <c r="E89" i="4" s="1"/>
  <c r="F88" i="4"/>
  <c r="D88" i="4"/>
  <c r="E88" i="4" s="1"/>
  <c r="F87" i="4"/>
  <c r="D87" i="4"/>
  <c r="E87" i="4" s="1"/>
  <c r="F86" i="4"/>
  <c r="D86" i="4"/>
  <c r="E86" i="4" s="1"/>
  <c r="F85" i="4"/>
  <c r="D85" i="4"/>
  <c r="E85" i="4" s="1"/>
  <c r="F84" i="4"/>
  <c r="D84" i="4"/>
  <c r="E84" i="4" s="1"/>
  <c r="F83" i="4"/>
  <c r="D83" i="4"/>
  <c r="E83" i="4" s="1"/>
  <c r="F82" i="4"/>
  <c r="D82" i="4"/>
  <c r="E82" i="4" s="1"/>
  <c r="F81" i="4"/>
  <c r="D81" i="4"/>
  <c r="E81" i="4" s="1"/>
  <c r="F80" i="4"/>
  <c r="D80" i="4"/>
  <c r="E80" i="4" s="1"/>
  <c r="F79" i="4"/>
  <c r="D79" i="4"/>
  <c r="E79" i="4" s="1"/>
  <c r="F78" i="4"/>
  <c r="D78" i="4"/>
  <c r="E78" i="4" s="1"/>
  <c r="F77" i="4"/>
  <c r="D77" i="4"/>
  <c r="E77" i="4" s="1"/>
  <c r="F76" i="4"/>
  <c r="D76" i="4"/>
  <c r="E76" i="4" s="1"/>
  <c r="F75" i="4"/>
  <c r="D75" i="4"/>
  <c r="E75" i="4" s="1"/>
  <c r="F74" i="4"/>
  <c r="D74" i="4"/>
  <c r="E74" i="4" s="1"/>
  <c r="F73" i="4"/>
  <c r="D73" i="4"/>
  <c r="E73" i="4" s="1"/>
  <c r="F72" i="4"/>
  <c r="D72" i="4"/>
  <c r="E72" i="4" s="1"/>
  <c r="F71" i="4"/>
  <c r="D71" i="4"/>
  <c r="E71" i="4" s="1"/>
  <c r="F70" i="4"/>
  <c r="D70" i="4"/>
  <c r="E70" i="4" s="1"/>
  <c r="F69" i="4"/>
  <c r="D69" i="4"/>
  <c r="E69" i="4" s="1"/>
  <c r="F68" i="4"/>
  <c r="D68" i="4"/>
  <c r="E68" i="4" s="1"/>
  <c r="F67" i="4"/>
  <c r="D67" i="4"/>
  <c r="E67" i="4" s="1"/>
  <c r="F66" i="4"/>
  <c r="D66" i="4"/>
  <c r="E66" i="4" s="1"/>
  <c r="F65" i="4"/>
  <c r="D65" i="4"/>
  <c r="E65" i="4" s="1"/>
  <c r="F64" i="4"/>
  <c r="D64" i="4"/>
  <c r="E64" i="4" s="1"/>
  <c r="F63" i="4"/>
  <c r="D63" i="4"/>
  <c r="E63" i="4" s="1"/>
  <c r="F62" i="4"/>
  <c r="D62" i="4"/>
  <c r="E62" i="4" s="1"/>
  <c r="F61" i="4"/>
  <c r="D61" i="4"/>
  <c r="E61" i="4" s="1"/>
  <c r="F60" i="4"/>
  <c r="D60" i="4"/>
  <c r="E60" i="4" s="1"/>
  <c r="F59" i="4"/>
  <c r="D59" i="4"/>
  <c r="E59" i="4" s="1"/>
  <c r="F58" i="4"/>
  <c r="D58" i="4"/>
  <c r="E58" i="4" s="1"/>
  <c r="F57" i="4"/>
  <c r="D57" i="4"/>
  <c r="E57" i="4" s="1"/>
  <c r="F56" i="4"/>
  <c r="D56" i="4"/>
  <c r="E56" i="4" s="1"/>
  <c r="F55" i="4"/>
  <c r="D55" i="4"/>
  <c r="E55" i="4" s="1"/>
  <c r="F54" i="4"/>
  <c r="D54" i="4"/>
  <c r="E54" i="4" s="1"/>
  <c r="F53" i="4"/>
  <c r="D53" i="4"/>
  <c r="E53" i="4" s="1"/>
  <c r="F52" i="4"/>
  <c r="D52" i="4"/>
  <c r="E52" i="4" s="1"/>
  <c r="F51" i="4"/>
  <c r="D51" i="4"/>
  <c r="E51" i="4" s="1"/>
  <c r="F50" i="4"/>
  <c r="D50" i="4"/>
  <c r="E50" i="4" s="1"/>
  <c r="F49" i="4"/>
  <c r="D49" i="4"/>
  <c r="E49" i="4" s="1"/>
  <c r="F48" i="4"/>
  <c r="D48" i="4"/>
  <c r="E48" i="4" s="1"/>
  <c r="F47" i="4"/>
  <c r="D47" i="4"/>
  <c r="E47" i="4" s="1"/>
  <c r="F46" i="4"/>
  <c r="D46" i="4"/>
  <c r="E46" i="4" s="1"/>
  <c r="F45" i="4"/>
  <c r="D45" i="4"/>
  <c r="E45" i="4" s="1"/>
  <c r="F44" i="4"/>
  <c r="D44" i="4"/>
  <c r="E44" i="4" s="1"/>
  <c r="F43" i="4"/>
  <c r="D43" i="4"/>
  <c r="E43" i="4" s="1"/>
  <c r="F42" i="4"/>
  <c r="D42" i="4"/>
  <c r="E42" i="4" s="1"/>
  <c r="F41" i="4"/>
  <c r="D41" i="4"/>
  <c r="E41" i="4" s="1"/>
  <c r="F40" i="4"/>
  <c r="D40" i="4"/>
  <c r="E40" i="4" s="1"/>
  <c r="F39" i="4"/>
  <c r="D39" i="4"/>
  <c r="E39" i="4" s="1"/>
  <c r="F38" i="4"/>
  <c r="D38" i="4"/>
  <c r="E38" i="4" s="1"/>
  <c r="F37" i="4"/>
  <c r="D37" i="4"/>
  <c r="E37" i="4" s="1"/>
  <c r="F36" i="4"/>
  <c r="D36" i="4"/>
  <c r="E36" i="4" s="1"/>
  <c r="F35" i="4"/>
  <c r="D35" i="4"/>
  <c r="E35" i="4" s="1"/>
  <c r="F34" i="4"/>
  <c r="D34" i="4"/>
  <c r="E34" i="4" s="1"/>
  <c r="F33" i="4"/>
  <c r="D33" i="4"/>
  <c r="E33" i="4" s="1"/>
  <c r="F32" i="4"/>
  <c r="D32" i="4"/>
  <c r="E32" i="4" s="1"/>
  <c r="F31" i="4"/>
  <c r="D31" i="4"/>
  <c r="E31" i="4" s="1"/>
  <c r="F30" i="4"/>
  <c r="D30" i="4"/>
  <c r="E30" i="4" s="1"/>
  <c r="F29" i="4"/>
  <c r="D29" i="4"/>
  <c r="E29" i="4" s="1"/>
  <c r="F28" i="4"/>
  <c r="D28" i="4"/>
  <c r="E28" i="4" s="1"/>
  <c r="F27" i="4"/>
  <c r="D27" i="4"/>
  <c r="E27" i="4" s="1"/>
  <c r="F26" i="4"/>
  <c r="D26" i="4"/>
  <c r="E26" i="4" s="1"/>
  <c r="F25" i="4"/>
  <c r="D25" i="4"/>
  <c r="E25" i="4" s="1"/>
  <c r="F24" i="4"/>
  <c r="D24" i="4"/>
  <c r="E24" i="4" s="1"/>
  <c r="F23" i="4"/>
  <c r="D23" i="4"/>
  <c r="E23" i="4" s="1"/>
  <c r="F22" i="4"/>
  <c r="D22" i="4"/>
  <c r="E22" i="4" s="1"/>
  <c r="F21" i="4"/>
  <c r="D21" i="4"/>
  <c r="E21" i="4" s="1"/>
  <c r="F20" i="4"/>
  <c r="D20" i="4"/>
  <c r="E20" i="4" s="1"/>
  <c r="F19" i="4"/>
  <c r="D19" i="4"/>
  <c r="E19" i="4" s="1"/>
  <c r="F18" i="4"/>
  <c r="D18" i="4"/>
  <c r="E18" i="4" s="1"/>
  <c r="F17" i="4"/>
  <c r="D17" i="4"/>
  <c r="E17" i="4" s="1"/>
  <c r="F16" i="4"/>
  <c r="D16" i="4"/>
  <c r="E16" i="4" s="1"/>
  <c r="F15" i="4"/>
  <c r="D15" i="4"/>
  <c r="E15" i="4" s="1"/>
  <c r="F14" i="4"/>
  <c r="D14" i="4"/>
  <c r="E14" i="4" s="1"/>
  <c r="F13" i="4"/>
  <c r="D13" i="4"/>
  <c r="E13" i="4" s="1"/>
  <c r="F12" i="4"/>
  <c r="D12" i="4"/>
  <c r="E12" i="4" s="1"/>
  <c r="F11" i="4"/>
  <c r="D11" i="4"/>
  <c r="E11" i="4" s="1"/>
  <c r="F10" i="4"/>
  <c r="D10" i="4"/>
  <c r="E10" i="4" s="1"/>
  <c r="F9" i="4"/>
  <c r="C9" i="6" s="1"/>
  <c r="D9" i="4"/>
  <c r="E9" i="4" s="1"/>
  <c r="F8" i="4"/>
  <c r="C8" i="6" s="1"/>
  <c r="D8" i="4"/>
  <c r="E8" i="4" s="1"/>
  <c r="F7" i="4"/>
  <c r="C7" i="6" s="1"/>
  <c r="D7" i="4"/>
  <c r="E7" i="4" s="1"/>
  <c r="F6" i="4"/>
  <c r="C6" i="6" s="1"/>
  <c r="D6" i="4"/>
  <c r="E6" i="4" s="1"/>
  <c r="F5" i="4"/>
  <c r="D5" i="4"/>
  <c r="E5" i="4" s="1"/>
  <c r="F4" i="4"/>
  <c r="F3" i="4"/>
  <c r="F2" i="4"/>
  <c r="E2" i="4"/>
  <c r="E98" i="2"/>
  <c r="E96" i="2"/>
  <c r="E95" i="2"/>
  <c r="E94" i="2"/>
  <c r="E93" i="2"/>
  <c r="E92" i="2"/>
  <c r="E91" i="2"/>
  <c r="E90" i="2"/>
  <c r="E89" i="2"/>
  <c r="E88" i="2"/>
  <c r="E83" i="2"/>
  <c r="E82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6" i="2"/>
  <c r="E15" i="2"/>
  <c r="E14" i="2"/>
  <c r="E13" i="2"/>
  <c r="E12" i="2"/>
  <c r="E11" i="2"/>
  <c r="E10" i="2"/>
  <c r="E9" i="2"/>
  <c r="E8" i="2"/>
  <c r="E7" i="2"/>
  <c r="E6" i="2"/>
  <c r="E5" i="2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3" i="6" l="1"/>
  <c r="C5" i="6"/>
  <c r="C2" i="6"/>
  <c r="C4" i="6"/>
  <c r="B3" i="6"/>
  <c r="B8" i="6"/>
  <c r="D8" i="6" s="1"/>
  <c r="B13" i="6"/>
  <c r="D13" i="6" s="1"/>
  <c r="B2" i="6"/>
  <c r="B7" i="6"/>
  <c r="D7" i="6" s="1"/>
  <c r="B12" i="6"/>
  <c r="D12" i="6" s="1"/>
  <c r="B6" i="6"/>
  <c r="D6" i="6" s="1"/>
  <c r="B11" i="6"/>
  <c r="D11" i="6" s="1"/>
  <c r="B5" i="6"/>
  <c r="B10" i="6"/>
  <c r="D10" i="6" s="1"/>
  <c r="B4" i="6"/>
  <c r="B9" i="6"/>
  <c r="D9" i="6" s="1"/>
  <c r="D5" i="6" l="1"/>
  <c r="D3" i="6"/>
  <c r="D4" i="6"/>
  <c r="D2" i="6"/>
</calcChain>
</file>

<file path=xl/sharedStrings.xml><?xml version="1.0" encoding="utf-8"?>
<sst xmlns="http://schemas.openxmlformats.org/spreadsheetml/2006/main" count="34" uniqueCount="27">
  <si>
    <t>Producto</t>
  </si>
  <si>
    <t>Precio</t>
  </si>
  <si>
    <t>Costo</t>
  </si>
  <si>
    <t>Ganancia</t>
  </si>
  <si>
    <t>Insumo</t>
  </si>
  <si>
    <t>Stock Inicial</t>
  </si>
  <si>
    <t>Compras</t>
  </si>
  <si>
    <t>Consumo</t>
  </si>
  <si>
    <t>Stock Actual</t>
  </si>
  <si>
    <t>Cantidad</t>
  </si>
  <si>
    <t>Fecha</t>
  </si>
  <si>
    <t>Total</t>
  </si>
  <si>
    <t>Mes</t>
  </si>
  <si>
    <t>Ventas</t>
  </si>
  <si>
    <t>Costos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</si>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</sst>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os" displayName="productos" ref="A1:D101">
  <autoFilter ref="A1:D101" xr:uid="{00000000-0009-0000-0100-000001000000}"/>
  <tableColumns count="4">
    <tableColumn id="1" xr3:uid="{00000000-0010-0000-0000-000001000000}" name="Producto"/>
    <tableColumn id="2" xr3:uid="{00000000-0010-0000-0000-000002000000}" name="Precio"/>
    <tableColumn id="3" xr3:uid="{00000000-0010-0000-0000-000003000000}" name="Costo"/>
    <tableColumn id="4" xr3:uid="{00000000-0010-0000-0000-000004000000}" name="Gananci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sumos" displayName="insumos" ref="A1:E101">
  <autoFilter ref="A1:E101" xr:uid="{00000000-0009-0000-0100-000002000000}"/>
  <tableColumns count="5">
    <tableColumn id="1" xr3:uid="{00000000-0010-0000-0100-000001000000}" name="Insumo"/>
    <tableColumn id="2" xr3:uid="{00000000-0010-0000-0100-000002000000}" name="Stock Inicial"/>
    <tableColumn id="3" xr3:uid="{00000000-0010-0000-0100-000003000000}" name="Compras"/>
    <tableColumn id="4" xr3:uid="{00000000-0010-0000-0100-000004000000}" name="Consumo" dataDxfId="0">
      <calculatedColumnFormula>SUMPRODUCT(('RECETAS'!B2:B100=A2)*'RECETAS'!C2:C100*(SUMIF(VENTAS!B2:B1000,'RECETAS'!A2:A100,VENTAS!C2:C1000)))</calculatedColumnFormula>
    </tableColumn>
    <tableColumn id="5" xr3:uid="{00000000-0010-0000-0100-000005000000}" name="Stock Actu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etas" displayName="recetas" ref="A1:C101">
  <autoFilter ref="A1:C101" xr:uid="{00000000-0009-0000-0100-000003000000}"/>
  <tableColumns count="3">
    <tableColumn id="1" xr3:uid="{00000000-0010-0000-0200-000001000000}" name="Producto"/>
    <tableColumn id="2" xr3:uid="{00000000-0010-0000-0200-000002000000}" name="Insumo"/>
    <tableColumn id="3" xr3:uid="{00000000-0010-0000-0200-000003000000}" name="Cantida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entas" displayName="ventas" ref="A1:F1001">
  <autoFilter ref="A1:F1001" xr:uid="{00000000-0009-0000-0100-000004000000}"/>
  <tableColumns count="6">
    <tableColumn id="1" xr3:uid="{00000000-0010-0000-0300-000001000000}" name="Fecha"/>
    <tableColumn id="2" xr3:uid="{00000000-0010-0000-0300-000002000000}" name="Producto"/>
    <tableColumn id="3" xr3:uid="{00000000-0010-0000-0300-000003000000}" name="Cantidad"/>
    <tableColumn id="4" xr3:uid="{00000000-0010-0000-0300-000004000000}" name="Precio"/>
    <tableColumn id="5" xr3:uid="{00000000-0010-0000-0300-000005000000}" name="Total"/>
    <tableColumn id="6" xr3:uid="{00000000-0010-0000-0300-000006000000}" name="M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men" displayName="resumen" ref="A1:D13">
  <autoFilter ref="A1:D13" xr:uid="{00000000-0009-0000-0100-000006000000}"/>
  <tableColumns count="4">
    <tableColumn id="1" xr3:uid="{00000000-0010-0000-0500-000001000000}" name="Mes"/>
    <tableColumn id="2" xr3:uid="{00000000-0010-0000-0500-000002000000}" name="Ventas"/>
    <tableColumn id="3" xr3:uid="{00000000-0010-0000-0500-000003000000}" name="Costos">
      <calculatedColumnFormula>SUMPRODUCT((VENTAS!F2:F1000=A2) *(VENTAS!C2:C1000) *IFERROR(VLOOKUP(VENTAS!B2:B1000,PRODUCTOS!A:C,3,FALSE),0))</calculatedColumnFormula>
    </tableColumn>
    <tableColumn id="4" xr3:uid="{00000000-0010-0000-0500-000004000000}" name="Gananc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6.5703125" customWidth="1"/>
    <col min="2" max="2" width="14.42578125" customWidth="1"/>
    <col min="3" max="3" width="13.85546875" customWidth="1"/>
    <col min="4" max="4" width="17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D2">
        <f t="shared" ref="D2:D33" si="0">B2-C2</f>
        <v>0</v>
      </c>
    </row>
    <row r="3" spans="1:4" x14ac:dyDescent="0.25">
      <c r="D3">
        <f t="shared" si="0"/>
        <v>0</v>
      </c>
    </row>
    <row r="4" spans="1:4" x14ac:dyDescent="0.25">
      <c r="D4">
        <f t="shared" si="0"/>
        <v>0</v>
      </c>
    </row>
    <row r="5" spans="1:4" x14ac:dyDescent="0.25">
      <c r="D5">
        <f t="shared" si="0"/>
        <v>0</v>
      </c>
    </row>
    <row r="6" spans="1:4" x14ac:dyDescent="0.25">
      <c r="D6">
        <f t="shared" si="0"/>
        <v>0</v>
      </c>
    </row>
    <row r="7" spans="1:4" x14ac:dyDescent="0.25">
      <c r="D7">
        <f t="shared" si="0"/>
        <v>0</v>
      </c>
    </row>
    <row r="8" spans="1:4" x14ac:dyDescent="0.25">
      <c r="D8">
        <f t="shared" si="0"/>
        <v>0</v>
      </c>
    </row>
    <row r="9" spans="1:4" x14ac:dyDescent="0.25">
      <c r="D9">
        <f t="shared" si="0"/>
        <v>0</v>
      </c>
    </row>
    <row r="10" spans="1:4" x14ac:dyDescent="0.25">
      <c r="D10">
        <f t="shared" si="0"/>
        <v>0</v>
      </c>
    </row>
    <row r="11" spans="1:4" x14ac:dyDescent="0.25">
      <c r="D11">
        <f t="shared" si="0"/>
        <v>0</v>
      </c>
    </row>
    <row r="12" spans="1:4" x14ac:dyDescent="0.25">
      <c r="D12">
        <f t="shared" si="0"/>
        <v>0</v>
      </c>
    </row>
    <row r="13" spans="1:4" x14ac:dyDescent="0.25">
      <c r="D13">
        <f t="shared" si="0"/>
        <v>0</v>
      </c>
    </row>
    <row r="14" spans="1:4" x14ac:dyDescent="0.25">
      <c r="D14">
        <f t="shared" si="0"/>
        <v>0</v>
      </c>
    </row>
    <row r="15" spans="1:4" x14ac:dyDescent="0.25">
      <c r="D15">
        <f t="shared" si="0"/>
        <v>0</v>
      </c>
    </row>
    <row r="16" spans="1:4" x14ac:dyDescent="0.25">
      <c r="D16">
        <f t="shared" si="0"/>
        <v>0</v>
      </c>
    </row>
    <row r="17" spans="4:4" x14ac:dyDescent="0.25">
      <c r="D17">
        <f t="shared" si="0"/>
        <v>0</v>
      </c>
    </row>
    <row r="18" spans="4:4" x14ac:dyDescent="0.25">
      <c r="D18">
        <f t="shared" si="0"/>
        <v>0</v>
      </c>
    </row>
    <row r="19" spans="4:4" x14ac:dyDescent="0.25">
      <c r="D19">
        <f t="shared" si="0"/>
        <v>0</v>
      </c>
    </row>
    <row r="20" spans="4:4" x14ac:dyDescent="0.25">
      <c r="D20">
        <f t="shared" si="0"/>
        <v>0</v>
      </c>
    </row>
    <row r="21" spans="4:4" x14ac:dyDescent="0.25">
      <c r="D21">
        <f t="shared" si="0"/>
        <v>0</v>
      </c>
    </row>
    <row r="22" spans="4:4" x14ac:dyDescent="0.25">
      <c r="D22">
        <f t="shared" si="0"/>
        <v>0</v>
      </c>
    </row>
    <row r="23" spans="4:4" x14ac:dyDescent="0.25">
      <c r="D23">
        <f t="shared" si="0"/>
        <v>0</v>
      </c>
    </row>
    <row r="24" spans="4:4" x14ac:dyDescent="0.25">
      <c r="D24">
        <f t="shared" si="0"/>
        <v>0</v>
      </c>
    </row>
    <row r="25" spans="4:4" x14ac:dyDescent="0.25">
      <c r="D25">
        <f t="shared" si="0"/>
        <v>0</v>
      </c>
    </row>
    <row r="26" spans="4:4" x14ac:dyDescent="0.25">
      <c r="D26">
        <f t="shared" si="0"/>
        <v>0</v>
      </c>
    </row>
    <row r="27" spans="4:4" x14ac:dyDescent="0.25">
      <c r="D27">
        <f t="shared" si="0"/>
        <v>0</v>
      </c>
    </row>
    <row r="28" spans="4:4" x14ac:dyDescent="0.25">
      <c r="D28">
        <f t="shared" si="0"/>
        <v>0</v>
      </c>
    </row>
    <row r="29" spans="4:4" x14ac:dyDescent="0.25">
      <c r="D29">
        <f t="shared" si="0"/>
        <v>0</v>
      </c>
    </row>
    <row r="30" spans="4:4" x14ac:dyDescent="0.25">
      <c r="D30">
        <f t="shared" si="0"/>
        <v>0</v>
      </c>
    </row>
    <row r="31" spans="4:4" x14ac:dyDescent="0.25">
      <c r="D31">
        <f t="shared" si="0"/>
        <v>0</v>
      </c>
    </row>
    <row r="32" spans="4:4" x14ac:dyDescent="0.25">
      <c r="D32">
        <f t="shared" si="0"/>
        <v>0</v>
      </c>
    </row>
    <row r="33" spans="4:4" x14ac:dyDescent="0.25">
      <c r="D33">
        <f t="shared" si="0"/>
        <v>0</v>
      </c>
    </row>
    <row r="34" spans="4:4" x14ac:dyDescent="0.25">
      <c r="D34">
        <f t="shared" ref="D34:D65" si="1">B34-C34</f>
        <v>0</v>
      </c>
    </row>
    <row r="35" spans="4:4" x14ac:dyDescent="0.25">
      <c r="D35">
        <f t="shared" si="1"/>
        <v>0</v>
      </c>
    </row>
    <row r="36" spans="4:4" x14ac:dyDescent="0.25">
      <c r="D36">
        <f t="shared" si="1"/>
        <v>0</v>
      </c>
    </row>
    <row r="37" spans="4:4" x14ac:dyDescent="0.25">
      <c r="D37">
        <f t="shared" si="1"/>
        <v>0</v>
      </c>
    </row>
    <row r="38" spans="4:4" x14ac:dyDescent="0.25">
      <c r="D38">
        <f t="shared" si="1"/>
        <v>0</v>
      </c>
    </row>
    <row r="39" spans="4:4" x14ac:dyDescent="0.25">
      <c r="D39">
        <f t="shared" si="1"/>
        <v>0</v>
      </c>
    </row>
    <row r="40" spans="4:4" x14ac:dyDescent="0.25">
      <c r="D40">
        <f t="shared" si="1"/>
        <v>0</v>
      </c>
    </row>
    <row r="41" spans="4:4" x14ac:dyDescent="0.25">
      <c r="D41">
        <f t="shared" si="1"/>
        <v>0</v>
      </c>
    </row>
    <row r="42" spans="4:4" x14ac:dyDescent="0.25">
      <c r="D42">
        <f t="shared" si="1"/>
        <v>0</v>
      </c>
    </row>
    <row r="43" spans="4:4" x14ac:dyDescent="0.25">
      <c r="D43">
        <f t="shared" si="1"/>
        <v>0</v>
      </c>
    </row>
    <row r="44" spans="4:4" x14ac:dyDescent="0.25">
      <c r="D44">
        <f t="shared" si="1"/>
        <v>0</v>
      </c>
    </row>
    <row r="45" spans="4:4" x14ac:dyDescent="0.25">
      <c r="D45">
        <f t="shared" si="1"/>
        <v>0</v>
      </c>
    </row>
    <row r="46" spans="4:4" x14ac:dyDescent="0.25">
      <c r="D46">
        <f t="shared" si="1"/>
        <v>0</v>
      </c>
    </row>
    <row r="47" spans="4:4" x14ac:dyDescent="0.25">
      <c r="D47">
        <f t="shared" si="1"/>
        <v>0</v>
      </c>
    </row>
    <row r="48" spans="4:4" x14ac:dyDescent="0.25">
      <c r="D48">
        <f t="shared" si="1"/>
        <v>0</v>
      </c>
    </row>
    <row r="49" spans="4:4" x14ac:dyDescent="0.25">
      <c r="D49">
        <f t="shared" si="1"/>
        <v>0</v>
      </c>
    </row>
    <row r="50" spans="4:4" x14ac:dyDescent="0.25">
      <c r="D50">
        <f t="shared" si="1"/>
        <v>0</v>
      </c>
    </row>
    <row r="51" spans="4:4" x14ac:dyDescent="0.25">
      <c r="D51">
        <f t="shared" si="1"/>
        <v>0</v>
      </c>
    </row>
    <row r="52" spans="4:4" x14ac:dyDescent="0.25">
      <c r="D52">
        <f t="shared" si="1"/>
        <v>0</v>
      </c>
    </row>
    <row r="53" spans="4:4" x14ac:dyDescent="0.25">
      <c r="D53">
        <f t="shared" si="1"/>
        <v>0</v>
      </c>
    </row>
    <row r="54" spans="4:4" x14ac:dyDescent="0.25">
      <c r="D54">
        <f t="shared" si="1"/>
        <v>0</v>
      </c>
    </row>
    <row r="55" spans="4:4" x14ac:dyDescent="0.25">
      <c r="D55">
        <f t="shared" si="1"/>
        <v>0</v>
      </c>
    </row>
    <row r="56" spans="4:4" x14ac:dyDescent="0.25">
      <c r="D56">
        <f t="shared" si="1"/>
        <v>0</v>
      </c>
    </row>
    <row r="57" spans="4:4" x14ac:dyDescent="0.25">
      <c r="D57">
        <f t="shared" si="1"/>
        <v>0</v>
      </c>
    </row>
    <row r="58" spans="4:4" x14ac:dyDescent="0.25">
      <c r="D58">
        <f t="shared" si="1"/>
        <v>0</v>
      </c>
    </row>
    <row r="59" spans="4:4" x14ac:dyDescent="0.25">
      <c r="D59">
        <f t="shared" si="1"/>
        <v>0</v>
      </c>
    </row>
    <row r="60" spans="4:4" x14ac:dyDescent="0.25">
      <c r="D60">
        <f t="shared" si="1"/>
        <v>0</v>
      </c>
    </row>
    <row r="61" spans="4:4" x14ac:dyDescent="0.25">
      <c r="D61">
        <f t="shared" si="1"/>
        <v>0</v>
      </c>
    </row>
    <row r="62" spans="4:4" x14ac:dyDescent="0.25">
      <c r="D62">
        <f t="shared" si="1"/>
        <v>0</v>
      </c>
    </row>
    <row r="63" spans="4:4" x14ac:dyDescent="0.25">
      <c r="D63">
        <f t="shared" si="1"/>
        <v>0</v>
      </c>
    </row>
    <row r="64" spans="4:4" x14ac:dyDescent="0.25">
      <c r="D64">
        <f t="shared" si="1"/>
        <v>0</v>
      </c>
    </row>
    <row r="65" spans="4:4" x14ac:dyDescent="0.25">
      <c r="D65">
        <f t="shared" si="1"/>
        <v>0</v>
      </c>
    </row>
    <row r="66" spans="4:4" x14ac:dyDescent="0.25">
      <c r="D66">
        <f t="shared" ref="D66:D97" si="2">B66-C66</f>
        <v>0</v>
      </c>
    </row>
    <row r="67" spans="4:4" x14ac:dyDescent="0.25">
      <c r="D67">
        <f t="shared" si="2"/>
        <v>0</v>
      </c>
    </row>
    <row r="68" spans="4:4" x14ac:dyDescent="0.25">
      <c r="D68">
        <f t="shared" si="2"/>
        <v>0</v>
      </c>
    </row>
    <row r="69" spans="4:4" x14ac:dyDescent="0.25">
      <c r="D69">
        <f t="shared" si="2"/>
        <v>0</v>
      </c>
    </row>
    <row r="70" spans="4:4" x14ac:dyDescent="0.25">
      <c r="D70">
        <f t="shared" si="2"/>
        <v>0</v>
      </c>
    </row>
    <row r="71" spans="4:4" x14ac:dyDescent="0.25">
      <c r="D71">
        <f t="shared" si="2"/>
        <v>0</v>
      </c>
    </row>
    <row r="72" spans="4:4" x14ac:dyDescent="0.25">
      <c r="D72">
        <f t="shared" si="2"/>
        <v>0</v>
      </c>
    </row>
    <row r="73" spans="4:4" x14ac:dyDescent="0.25">
      <c r="D73">
        <f t="shared" si="2"/>
        <v>0</v>
      </c>
    </row>
    <row r="74" spans="4:4" x14ac:dyDescent="0.25">
      <c r="D74">
        <f t="shared" si="2"/>
        <v>0</v>
      </c>
    </row>
    <row r="75" spans="4:4" x14ac:dyDescent="0.25">
      <c r="D75">
        <f t="shared" si="2"/>
        <v>0</v>
      </c>
    </row>
    <row r="76" spans="4:4" x14ac:dyDescent="0.25">
      <c r="D76">
        <f t="shared" si="2"/>
        <v>0</v>
      </c>
    </row>
    <row r="77" spans="4:4" x14ac:dyDescent="0.25">
      <c r="D77">
        <f t="shared" si="2"/>
        <v>0</v>
      </c>
    </row>
    <row r="78" spans="4:4" x14ac:dyDescent="0.25">
      <c r="D78">
        <f t="shared" si="2"/>
        <v>0</v>
      </c>
    </row>
    <row r="79" spans="4:4" x14ac:dyDescent="0.25">
      <c r="D79">
        <f t="shared" si="2"/>
        <v>0</v>
      </c>
    </row>
    <row r="80" spans="4:4" x14ac:dyDescent="0.25">
      <c r="D80">
        <f t="shared" si="2"/>
        <v>0</v>
      </c>
    </row>
    <row r="81" spans="4:4" x14ac:dyDescent="0.25">
      <c r="D81">
        <f t="shared" si="2"/>
        <v>0</v>
      </c>
    </row>
    <row r="82" spans="4:4" x14ac:dyDescent="0.25">
      <c r="D82">
        <f t="shared" si="2"/>
        <v>0</v>
      </c>
    </row>
    <row r="83" spans="4:4" x14ac:dyDescent="0.25">
      <c r="D83">
        <f t="shared" si="2"/>
        <v>0</v>
      </c>
    </row>
    <row r="84" spans="4:4" x14ac:dyDescent="0.25">
      <c r="D84">
        <f t="shared" si="2"/>
        <v>0</v>
      </c>
    </row>
    <row r="85" spans="4:4" x14ac:dyDescent="0.25">
      <c r="D85">
        <f t="shared" si="2"/>
        <v>0</v>
      </c>
    </row>
    <row r="86" spans="4:4" x14ac:dyDescent="0.25">
      <c r="D86">
        <f t="shared" si="2"/>
        <v>0</v>
      </c>
    </row>
    <row r="87" spans="4:4" x14ac:dyDescent="0.25">
      <c r="D87">
        <f t="shared" si="2"/>
        <v>0</v>
      </c>
    </row>
    <row r="88" spans="4:4" x14ac:dyDescent="0.25">
      <c r="D88">
        <f t="shared" si="2"/>
        <v>0</v>
      </c>
    </row>
    <row r="89" spans="4:4" x14ac:dyDescent="0.25">
      <c r="D89">
        <f t="shared" si="2"/>
        <v>0</v>
      </c>
    </row>
    <row r="90" spans="4:4" x14ac:dyDescent="0.25">
      <c r="D90">
        <f t="shared" si="2"/>
        <v>0</v>
      </c>
    </row>
    <row r="91" spans="4:4" x14ac:dyDescent="0.25">
      <c r="D91">
        <f t="shared" si="2"/>
        <v>0</v>
      </c>
    </row>
    <row r="92" spans="4:4" x14ac:dyDescent="0.25">
      <c r="D92">
        <f t="shared" si="2"/>
        <v>0</v>
      </c>
    </row>
    <row r="93" spans="4:4" x14ac:dyDescent="0.25">
      <c r="D93">
        <f t="shared" si="2"/>
        <v>0</v>
      </c>
    </row>
    <row r="94" spans="4:4" x14ac:dyDescent="0.25">
      <c r="D94">
        <f t="shared" si="2"/>
        <v>0</v>
      </c>
    </row>
    <row r="95" spans="4:4" x14ac:dyDescent="0.25">
      <c r="D95">
        <f t="shared" si="2"/>
        <v>0</v>
      </c>
    </row>
    <row r="96" spans="4:4" x14ac:dyDescent="0.25">
      <c r="D96">
        <f t="shared" si="2"/>
        <v>0</v>
      </c>
    </row>
    <row r="97" spans="4:4" x14ac:dyDescent="0.25">
      <c r="D97">
        <f t="shared" si="2"/>
        <v>0</v>
      </c>
    </row>
    <row r="98" spans="4:4" x14ac:dyDescent="0.25">
      <c r="D98">
        <f t="shared" ref="D98:D129" si="3">B98-C98</f>
        <v>0</v>
      </c>
    </row>
    <row r="99" spans="4:4" x14ac:dyDescent="0.25">
      <c r="D99">
        <f t="shared" si="3"/>
        <v>0</v>
      </c>
    </row>
    <row r="100" spans="4:4" x14ac:dyDescent="0.25">
      <c r="D100">
        <f t="shared" si="3"/>
        <v>0</v>
      </c>
    </row>
    <row r="101" spans="4:4" x14ac:dyDescent="0.25">
      <c r="D101">
        <f t="shared" si="3"/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5.7109375" customWidth="1"/>
    <col min="2" max="2" width="22.5703125" customWidth="1"/>
    <col min="3" max="3" width="15.140625" customWidth="1"/>
    <col min="4" max="4" width="13.85546875" customWidth="1"/>
    <col min="5" max="5" width="20.2851562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D2">
        <f>SUMPRODUCT(('RECETAS'!B2:B100=A2)*'RECETAS'!C2:C100*(SUMIF(VENTAS!B2:B1000,'RECETAS'!A2:A100,VENTAS!C2:C1000)))</f>
        <v>0</v>
      </c>
      <c r="E2">
        <f t="shared" ref="E2:E33" si="0">B2+C2-D2</f>
        <v>0</v>
      </c>
    </row>
    <row r="3" spans="1:5" x14ac:dyDescent="0.25">
      <c r="D3">
        <f>SUMPRODUCT(('RECETAS'!B3:B101=A3)*'RECETAS'!C3:C101*(SUMIF(VENTAS!B3:B1001,'RECETAS'!A3:A101,VENTAS!C3:C1001)))</f>
        <v>0</v>
      </c>
      <c r="E3">
        <f t="shared" si="0"/>
        <v>0</v>
      </c>
    </row>
    <row r="4" spans="1:5" x14ac:dyDescent="0.25">
      <c r="D4">
        <f>SUMPRODUCT(('RECETAS'!B4:B102=A4)*'RECETAS'!C4:C102*(SUMIF(VENTAS!B4:B1002,'RECETAS'!A4:A102,VENTAS!C4:C1002)))</f>
        <v>0</v>
      </c>
      <c r="E4">
        <f t="shared" si="0"/>
        <v>0</v>
      </c>
    </row>
    <row r="5" spans="1:5" x14ac:dyDescent="0.25">
      <c r="D5">
        <f>SUMPRODUCT(('RECETAS'!B5:B103=A5)*'RECETAS'!C5:C103*(SUMIF(VENTAS!B5:B1003,'RECETAS'!A5:A103,VENTAS!C5:C1003)))</f>
        <v>0</v>
      </c>
      <c r="E5">
        <f t="shared" si="0"/>
        <v>0</v>
      </c>
    </row>
    <row r="6" spans="1:5" x14ac:dyDescent="0.25">
      <c r="D6">
        <f>SUMPRODUCT(('RECETAS'!B6:B104=A6)*'RECETAS'!C6:C104*(SUMIF(VENTAS!B6:B1004,'RECETAS'!A6:A104,VENTAS!C6:C1004)))</f>
        <v>0</v>
      </c>
      <c r="E6">
        <f t="shared" si="0"/>
        <v>0</v>
      </c>
    </row>
    <row r="7" spans="1:5" x14ac:dyDescent="0.25">
      <c r="D7">
        <f>SUMPRODUCT(('RECETAS'!B7:B105=A7)*'RECETAS'!C7:C105*(SUMIF(VENTAS!B7:B1005,'RECETAS'!A7:A105,VENTAS!C7:C1005)))</f>
        <v>0</v>
      </c>
      <c r="E7">
        <f t="shared" si="0"/>
        <v>0</v>
      </c>
    </row>
    <row r="8" spans="1:5" x14ac:dyDescent="0.25">
      <c r="D8">
        <f>SUMPRODUCT(('RECETAS'!B8:B106=A8)*'RECETAS'!C8:C106*(SUMIF(VENTAS!B8:B1006,'RECETAS'!A8:A106,VENTAS!C8:C1006)))</f>
        <v>0</v>
      </c>
      <c r="E8">
        <f t="shared" si="0"/>
        <v>0</v>
      </c>
    </row>
    <row r="9" spans="1:5" x14ac:dyDescent="0.25">
      <c r="D9">
        <f>SUMPRODUCT(('RECETAS'!B9:B107=A9)*'RECETAS'!C9:C107*(SUMIF(VENTAS!B9:B1007,'RECETAS'!A9:A107,VENTAS!C9:C1007)))</f>
        <v>0</v>
      </c>
      <c r="E9">
        <f t="shared" si="0"/>
        <v>0</v>
      </c>
    </row>
    <row r="10" spans="1:5" x14ac:dyDescent="0.25">
      <c r="D10">
        <f>SUMPRODUCT(('RECETAS'!B10:B108=A10)*'RECETAS'!C10:C108*(SUMIF(VENTAS!B10:B1008,'RECETAS'!A10:A108,VENTAS!C10:C1008)))</f>
        <v>0</v>
      </c>
      <c r="E10">
        <f t="shared" si="0"/>
        <v>0</v>
      </c>
    </row>
    <row r="11" spans="1:5" x14ac:dyDescent="0.25">
      <c r="D11">
        <f>SUMPRODUCT(('RECETAS'!B11:B109=A11)*'RECETAS'!C11:C109*(SUMIF(VENTAS!B11:B1009,'RECETAS'!A11:A109,VENTAS!C11:C1009)))</f>
        <v>0</v>
      </c>
      <c r="E11">
        <f t="shared" si="0"/>
        <v>0</v>
      </c>
    </row>
    <row r="12" spans="1:5" x14ac:dyDescent="0.25">
      <c r="D12">
        <f>SUMPRODUCT(('RECETAS'!B12:B110=A12)*'RECETAS'!C12:C110*(SUMIF(VENTAS!B12:B1010,'RECETAS'!A12:A110,VENTAS!C12:C1010)))</f>
        <v>0</v>
      </c>
      <c r="E12">
        <f t="shared" si="0"/>
        <v>0</v>
      </c>
    </row>
    <row r="13" spans="1:5" x14ac:dyDescent="0.25">
      <c r="D13">
        <f>SUMPRODUCT(('RECETAS'!B13:B111=A13)*'RECETAS'!C13:C111*(SUMIF(VENTAS!B13:B1011,'RECETAS'!A13:A111,VENTAS!C13:C1011)))</f>
        <v>0</v>
      </c>
      <c r="E13">
        <f t="shared" si="0"/>
        <v>0</v>
      </c>
    </row>
    <row r="14" spans="1:5" x14ac:dyDescent="0.25">
      <c r="D14">
        <f>SUMPRODUCT(('RECETAS'!B14:B112=A14)*'RECETAS'!C14:C112*(SUMIF(VENTAS!B14:B1012,'RECETAS'!A14:A112,VENTAS!C14:C1012)))</f>
        <v>0</v>
      </c>
      <c r="E14">
        <f t="shared" si="0"/>
        <v>0</v>
      </c>
    </row>
    <row r="15" spans="1:5" x14ac:dyDescent="0.25">
      <c r="D15">
        <f>SUMPRODUCT(('RECETAS'!B15:B113=A15)*'RECETAS'!C15:C113*(SUMIF(VENTAS!B15:B1013,'RECETAS'!A15:A113,VENTAS!C15:C1013)))</f>
        <v>0</v>
      </c>
      <c r="E15">
        <f t="shared" si="0"/>
        <v>0</v>
      </c>
    </row>
    <row r="16" spans="1:5" x14ac:dyDescent="0.25">
      <c r="D16">
        <f>SUMPRODUCT(('RECETAS'!B16:B114=A16)*'RECETAS'!C16:C114*(SUMIF(VENTAS!B16:B1014,'RECETAS'!A16:A114,VENTAS!C16:C1014)))</f>
        <v>0</v>
      </c>
      <c r="E16">
        <f t="shared" si="0"/>
        <v>0</v>
      </c>
    </row>
    <row r="17" spans="4:5" x14ac:dyDescent="0.25">
      <c r="D17">
        <f>SUMPRODUCT(('RECETAS'!B17:B115=A17)*'RECETAS'!C17:C115*(SUMIF(VENTAS!B17:B1015,'RECETAS'!A17:A115,VENTAS!C17:C1015)))</f>
        <v>0</v>
      </c>
      <c r="E17">
        <f t="shared" si="0"/>
        <v>0</v>
      </c>
    </row>
    <row r="18" spans="4:5" x14ac:dyDescent="0.25">
      <c r="D18">
        <f>SUMPRODUCT(('RECETAS'!B18:B116=A18)*'RECETAS'!C18:C116*(SUMIF(VENTAS!B18:B1016,'RECETAS'!A18:A116,VENTAS!C18:C1016)))</f>
        <v>0</v>
      </c>
      <c r="E18">
        <f t="shared" si="0"/>
        <v>0</v>
      </c>
    </row>
    <row r="19" spans="4:5" x14ac:dyDescent="0.25">
      <c r="D19">
        <f>SUMPRODUCT(('RECETAS'!B19:B117=A19)*'RECETAS'!C19:C117*(SUMIF(VENTAS!B19:B1017,'RECETAS'!A19:A117,VENTAS!C19:C1017)))</f>
        <v>0</v>
      </c>
      <c r="E19">
        <f t="shared" si="0"/>
        <v>0</v>
      </c>
    </row>
    <row r="20" spans="4:5" x14ac:dyDescent="0.25">
      <c r="D20">
        <f>SUMPRODUCT(('RECETAS'!B20:B118=A20)*'RECETAS'!C20:C118*(SUMIF(VENTAS!B20:B1018,'RECETAS'!A20:A118,VENTAS!C20:C1018)))</f>
        <v>0</v>
      </c>
      <c r="E20">
        <f t="shared" si="0"/>
        <v>0</v>
      </c>
    </row>
    <row r="21" spans="4:5" x14ac:dyDescent="0.25">
      <c r="D21">
        <f>SUMPRODUCT(('RECETAS'!B21:B119=A21)*'RECETAS'!C21:C119*(SUMIF(VENTAS!B21:B1019,'RECETAS'!A21:A119,VENTAS!C21:C1019)))</f>
        <v>0</v>
      </c>
      <c r="E21">
        <f t="shared" si="0"/>
        <v>0</v>
      </c>
    </row>
    <row r="22" spans="4:5" x14ac:dyDescent="0.25">
      <c r="D22">
        <f>SUMPRODUCT(('RECETAS'!B22:B120=A22)*'RECETAS'!C22:C120*(SUMIF(VENTAS!B22:B1020,'RECETAS'!A22:A120,VENTAS!C22:C1020)))</f>
        <v>0</v>
      </c>
      <c r="E22">
        <f t="shared" si="0"/>
        <v>0</v>
      </c>
    </row>
    <row r="23" spans="4:5" x14ac:dyDescent="0.25">
      <c r="D23">
        <f>SUMPRODUCT(('RECETAS'!B23:B121=A23)*'RECETAS'!C23:C121*(SUMIF(VENTAS!B23:B1021,'RECETAS'!A23:A121,VENTAS!C23:C1021)))</f>
        <v>0</v>
      </c>
      <c r="E23">
        <f t="shared" si="0"/>
        <v>0</v>
      </c>
    </row>
    <row r="24" spans="4:5" x14ac:dyDescent="0.25">
      <c r="D24">
        <f>SUMPRODUCT(('RECETAS'!B24:B122=A24)*'RECETAS'!C24:C122*(SUMIF(VENTAS!B24:B1022,'RECETAS'!A24:A122,VENTAS!C24:C1022)))</f>
        <v>0</v>
      </c>
      <c r="E24">
        <f t="shared" si="0"/>
        <v>0</v>
      </c>
    </row>
    <row r="25" spans="4:5" x14ac:dyDescent="0.25">
      <c r="D25">
        <f>SUMPRODUCT(('RECETAS'!B25:B123=A25)*'RECETAS'!C25:C123*(SUMIF(VENTAS!B25:B1023,'RECETAS'!A25:A123,VENTAS!C25:C1023)))</f>
        <v>0</v>
      </c>
      <c r="E25">
        <f t="shared" si="0"/>
        <v>0</v>
      </c>
    </row>
    <row r="26" spans="4:5" x14ac:dyDescent="0.25">
      <c r="D26">
        <f>SUMPRODUCT(('RECETAS'!B26:B124=A26)*'RECETAS'!C26:C124*(SUMIF(VENTAS!B26:B1024,'RECETAS'!A26:A124,VENTAS!C26:C1024)))</f>
        <v>0</v>
      </c>
      <c r="E26">
        <f t="shared" si="0"/>
        <v>0</v>
      </c>
    </row>
    <row r="27" spans="4:5" x14ac:dyDescent="0.25">
      <c r="D27">
        <f>SUMPRODUCT(('RECETAS'!B27:B125=A27)*'RECETAS'!C27:C125*(SUMIF(VENTAS!B27:B1025,'RECETAS'!A27:A125,VENTAS!C27:C1025)))</f>
        <v>0</v>
      </c>
      <c r="E27">
        <f t="shared" si="0"/>
        <v>0</v>
      </c>
    </row>
    <row r="28" spans="4:5" x14ac:dyDescent="0.25">
      <c r="D28">
        <f>SUMPRODUCT(('RECETAS'!B28:B126=A28)*'RECETAS'!C28:C126*(SUMIF(VENTAS!B28:B1026,'RECETAS'!A28:A126,VENTAS!C28:C1026)))</f>
        <v>0</v>
      </c>
      <c r="E28">
        <f t="shared" si="0"/>
        <v>0</v>
      </c>
    </row>
    <row r="29" spans="4:5" x14ac:dyDescent="0.25">
      <c r="D29">
        <f>SUMPRODUCT(('RECETAS'!B29:B127=A29)*'RECETAS'!C29:C127*(SUMIF(VENTAS!B29:B1027,'RECETAS'!A29:A127,VENTAS!C29:C1027)))</f>
        <v>0</v>
      </c>
      <c r="E29">
        <f t="shared" si="0"/>
        <v>0</v>
      </c>
    </row>
    <row r="30" spans="4:5" x14ac:dyDescent="0.25">
      <c r="D30">
        <f>SUMPRODUCT(('RECETAS'!B30:B128=A30)*'RECETAS'!C30:C128*(SUMIF(VENTAS!B30:B1028,'RECETAS'!A30:A128,VENTAS!C30:C1028)))</f>
        <v>0</v>
      </c>
      <c r="E30">
        <f t="shared" si="0"/>
        <v>0</v>
      </c>
    </row>
    <row r="31" spans="4:5" x14ac:dyDescent="0.25">
      <c r="D31">
        <f>SUMPRODUCT(('RECETAS'!B31:B129=A31)*'RECETAS'!C31:C129*(SUMIF(VENTAS!B31:B1029,'RECETAS'!A31:A129,VENTAS!C31:C1029)))</f>
        <v>0</v>
      </c>
      <c r="E31">
        <f t="shared" si="0"/>
        <v>0</v>
      </c>
    </row>
    <row r="32" spans="4:5" x14ac:dyDescent="0.25">
      <c r="D32">
        <f>SUMPRODUCT(('RECETAS'!B32:B130=A32)*'RECETAS'!C32:C130*(SUMIF(VENTAS!B32:B1030,'RECETAS'!A32:A130,VENTAS!C32:C1030)))</f>
        <v>0</v>
      </c>
      <c r="E32">
        <f t="shared" si="0"/>
        <v>0</v>
      </c>
    </row>
    <row r="33" spans="4:5" x14ac:dyDescent="0.25">
      <c r="D33">
        <f>SUMPRODUCT(('RECETAS'!B33:B131=A33)*'RECETAS'!C33:C131*(SUMIF(VENTAS!B33:B1031,'RECETAS'!A33:A131,VENTAS!C33:C1031)))</f>
        <v>0</v>
      </c>
      <c r="E33">
        <f t="shared" si="0"/>
        <v>0</v>
      </c>
    </row>
    <row r="34" spans="4:5" x14ac:dyDescent="0.25">
      <c r="D34">
        <f>SUMPRODUCT(('RECETAS'!B34:B132=A34)*'RECETAS'!C34:C132*(SUMIF(VENTAS!B34:B1032,'RECETAS'!A34:A132,VENTAS!C34:C1032)))</f>
        <v>0</v>
      </c>
      <c r="E34">
        <f t="shared" ref="E34:E65" si="1">B34+C34-D34</f>
        <v>0</v>
      </c>
    </row>
    <row r="35" spans="4:5" x14ac:dyDescent="0.25">
      <c r="D35">
        <f>SUMPRODUCT(('RECETAS'!B35:B133=A35)*'RECETAS'!C35:C133*(SUMIF(VENTAS!B35:B1033,'RECETAS'!A35:A133,VENTAS!C35:C1033)))</f>
        <v>0</v>
      </c>
      <c r="E35">
        <f t="shared" si="1"/>
        <v>0</v>
      </c>
    </row>
    <row r="36" spans="4:5" x14ac:dyDescent="0.25">
      <c r="D36">
        <f>SUMPRODUCT(('RECETAS'!B36:B134=A36)*'RECETAS'!C36:C134*(SUMIF(VENTAS!B36:B1034,'RECETAS'!A36:A134,VENTAS!C36:C1034)))</f>
        <v>0</v>
      </c>
      <c r="E36">
        <f t="shared" si="1"/>
        <v>0</v>
      </c>
    </row>
    <row r="37" spans="4:5" x14ac:dyDescent="0.25">
      <c r="D37">
        <f>SUMPRODUCT(('RECETAS'!B37:B135=A37)*'RECETAS'!C37:C135*(SUMIF(VENTAS!B37:B1035,'RECETAS'!A37:A135,VENTAS!C37:C1035)))</f>
        <v>0</v>
      </c>
      <c r="E37">
        <f t="shared" si="1"/>
        <v>0</v>
      </c>
    </row>
    <row r="38" spans="4:5" x14ac:dyDescent="0.25">
      <c r="D38">
        <f>SUMPRODUCT(('RECETAS'!B38:B136=A38)*'RECETAS'!C38:C136*(SUMIF(VENTAS!B38:B1036,'RECETAS'!A38:A136,VENTAS!C38:C1036)))</f>
        <v>0</v>
      </c>
      <c r="E38">
        <f t="shared" si="1"/>
        <v>0</v>
      </c>
    </row>
    <row r="39" spans="4:5" x14ac:dyDescent="0.25">
      <c r="D39">
        <f>SUMPRODUCT(('RECETAS'!B39:B137=A39)*'RECETAS'!C39:C137*(SUMIF(VENTAS!B39:B1037,'RECETAS'!A39:A137,VENTAS!C39:C1037)))</f>
        <v>0</v>
      </c>
      <c r="E39">
        <f t="shared" si="1"/>
        <v>0</v>
      </c>
    </row>
    <row r="40" spans="4:5" x14ac:dyDescent="0.25">
      <c r="D40">
        <f>SUMPRODUCT(('RECETAS'!B40:B138=A40)*'RECETAS'!C40:C138*(SUMIF(VENTAS!B40:B1038,'RECETAS'!A40:A138,VENTAS!C40:C1038)))</f>
        <v>0</v>
      </c>
      <c r="E40">
        <f t="shared" si="1"/>
        <v>0</v>
      </c>
    </row>
    <row r="41" spans="4:5" x14ac:dyDescent="0.25">
      <c r="D41">
        <f>SUMPRODUCT(('RECETAS'!B41:B139=A41)*'RECETAS'!C41:C139*(SUMIF(VENTAS!B41:B1039,'RECETAS'!A41:A139,VENTAS!C41:C1039)))</f>
        <v>0</v>
      </c>
      <c r="E41">
        <f t="shared" si="1"/>
        <v>0</v>
      </c>
    </row>
    <row r="42" spans="4:5" x14ac:dyDescent="0.25">
      <c r="D42">
        <f>SUMPRODUCT(('RECETAS'!B42:B140=A42)*'RECETAS'!C42:C140*(SUMIF(VENTAS!B42:B1040,'RECETAS'!A42:A140,VENTAS!C42:C1040)))</f>
        <v>0</v>
      </c>
      <c r="E42">
        <f t="shared" si="1"/>
        <v>0</v>
      </c>
    </row>
    <row r="43" spans="4:5" x14ac:dyDescent="0.25">
      <c r="D43">
        <f>SUMPRODUCT(('RECETAS'!B43:B141=A43)*'RECETAS'!C43:C141*(SUMIF(VENTAS!B43:B1041,'RECETAS'!A43:A141,VENTAS!C43:C1041)))</f>
        <v>0</v>
      </c>
      <c r="E43">
        <f t="shared" si="1"/>
        <v>0</v>
      </c>
    </row>
    <row r="44" spans="4:5" x14ac:dyDescent="0.25">
      <c r="D44">
        <f>SUMPRODUCT(('RECETAS'!B44:B142=A44)*'RECETAS'!C44:C142*(SUMIF(VENTAS!B44:B1042,'RECETAS'!A44:A142,VENTAS!C44:C1042)))</f>
        <v>0</v>
      </c>
      <c r="E44">
        <f t="shared" si="1"/>
        <v>0</v>
      </c>
    </row>
    <row r="45" spans="4:5" x14ac:dyDescent="0.25">
      <c r="D45">
        <f>SUMPRODUCT(('RECETAS'!B45:B143=A45)*'RECETAS'!C45:C143*(SUMIF(VENTAS!B45:B1043,'RECETAS'!A45:A143,VENTAS!C45:C1043)))</f>
        <v>0</v>
      </c>
      <c r="E45">
        <f t="shared" si="1"/>
        <v>0</v>
      </c>
    </row>
    <row r="46" spans="4:5" x14ac:dyDescent="0.25">
      <c r="D46">
        <f>SUMPRODUCT(('RECETAS'!B46:B144=A46)*'RECETAS'!C46:C144*(SUMIF(VENTAS!B46:B1044,'RECETAS'!A46:A144,VENTAS!C46:C1044)))</f>
        <v>0</v>
      </c>
      <c r="E46">
        <f t="shared" si="1"/>
        <v>0</v>
      </c>
    </row>
    <row r="47" spans="4:5" x14ac:dyDescent="0.25">
      <c r="D47">
        <f>SUMPRODUCT(('RECETAS'!B47:B145=A47)*'RECETAS'!C47:C145*(SUMIF(VENTAS!B47:B1045,'RECETAS'!A47:A145,VENTAS!C47:C1045)))</f>
        <v>0</v>
      </c>
      <c r="E47">
        <f t="shared" si="1"/>
        <v>0</v>
      </c>
    </row>
    <row r="48" spans="4:5" x14ac:dyDescent="0.25">
      <c r="D48">
        <f>SUMPRODUCT(('RECETAS'!B48:B146=A48)*'RECETAS'!C48:C146*(SUMIF(VENTAS!B48:B1046,'RECETAS'!A48:A146,VENTAS!C48:C1046)))</f>
        <v>0</v>
      </c>
      <c r="E48">
        <f t="shared" si="1"/>
        <v>0</v>
      </c>
    </row>
    <row r="49" spans="4:5" x14ac:dyDescent="0.25">
      <c r="D49">
        <f>SUMPRODUCT(('RECETAS'!B49:B147=A49)*'RECETAS'!C49:C147*(SUMIF(VENTAS!B49:B1047,'RECETAS'!A49:A147,VENTAS!C49:C1047)))</f>
        <v>0</v>
      </c>
      <c r="E49">
        <f t="shared" si="1"/>
        <v>0</v>
      </c>
    </row>
    <row r="50" spans="4:5" x14ac:dyDescent="0.25">
      <c r="D50">
        <f>SUMPRODUCT(('RECETAS'!B50:B148=A50)*'RECETAS'!C50:C148*(SUMIF(VENTAS!B50:B1048,'RECETAS'!A50:A148,VENTAS!C50:C1048)))</f>
        <v>0</v>
      </c>
      <c r="E50">
        <f t="shared" si="1"/>
        <v>0</v>
      </c>
    </row>
    <row r="51" spans="4:5" x14ac:dyDescent="0.25">
      <c r="D51">
        <f>SUMPRODUCT(('RECETAS'!B51:B149=A51)*'RECETAS'!C51:C149*(SUMIF(VENTAS!B51:B1049,'RECETAS'!A51:A149,VENTAS!C51:C1049)))</f>
        <v>0</v>
      </c>
      <c r="E51">
        <f t="shared" si="1"/>
        <v>0</v>
      </c>
    </row>
    <row r="52" spans="4:5" x14ac:dyDescent="0.25">
      <c r="D52">
        <f>SUMPRODUCT(('RECETAS'!B52:B150=A52)*'RECETAS'!C52:C150*(SUMIF(VENTAS!B52:B1050,'RECETAS'!A52:A150,VENTAS!C52:C1050)))</f>
        <v>0</v>
      </c>
      <c r="E52">
        <f t="shared" si="1"/>
        <v>0</v>
      </c>
    </row>
    <row r="53" spans="4:5" x14ac:dyDescent="0.25">
      <c r="D53">
        <f>SUMPRODUCT(('RECETAS'!B53:B151=A53)*'RECETAS'!C53:C151*(SUMIF(VENTAS!B53:B1051,'RECETAS'!A53:A151,VENTAS!C53:C1051)))</f>
        <v>0</v>
      </c>
      <c r="E53">
        <f t="shared" si="1"/>
        <v>0</v>
      </c>
    </row>
    <row r="54" spans="4:5" x14ac:dyDescent="0.25">
      <c r="D54">
        <f>SUMPRODUCT(('RECETAS'!B54:B152=A54)*'RECETAS'!C54:C152*(SUMIF(VENTAS!B54:B1052,'RECETAS'!A54:A152,VENTAS!C54:C1052)))</f>
        <v>0</v>
      </c>
      <c r="E54">
        <f t="shared" si="1"/>
        <v>0</v>
      </c>
    </row>
    <row r="55" spans="4:5" x14ac:dyDescent="0.25">
      <c r="D55">
        <f>SUMPRODUCT(('RECETAS'!B55:B153=A55)*'RECETAS'!C55:C153*(SUMIF(VENTAS!B55:B1053,'RECETAS'!A55:A153,VENTAS!C55:C1053)))</f>
        <v>0</v>
      </c>
      <c r="E55">
        <f t="shared" si="1"/>
        <v>0</v>
      </c>
    </row>
    <row r="56" spans="4:5" x14ac:dyDescent="0.25">
      <c r="D56">
        <f>SUMPRODUCT(('RECETAS'!B56:B154=A56)*'RECETAS'!C56:C154*(SUMIF(VENTAS!B56:B1054,'RECETAS'!A56:A154,VENTAS!C56:C1054)))</f>
        <v>0</v>
      </c>
      <c r="E56">
        <f t="shared" si="1"/>
        <v>0</v>
      </c>
    </row>
    <row r="57" spans="4:5" x14ac:dyDescent="0.25">
      <c r="D57">
        <f>SUMPRODUCT(('RECETAS'!B57:B155=A57)*'RECETAS'!C57:C155*(SUMIF(VENTAS!B57:B1055,'RECETAS'!A57:A155,VENTAS!C57:C1055)))</f>
        <v>0</v>
      </c>
      <c r="E57">
        <f t="shared" si="1"/>
        <v>0</v>
      </c>
    </row>
    <row r="58" spans="4:5" x14ac:dyDescent="0.25">
      <c r="D58">
        <f>SUMPRODUCT(('RECETAS'!B58:B156=A58)*'RECETAS'!C58:C156*(SUMIF(VENTAS!B58:B1056,'RECETAS'!A58:A156,VENTAS!C58:C1056)))</f>
        <v>0</v>
      </c>
      <c r="E58">
        <f t="shared" si="1"/>
        <v>0</v>
      </c>
    </row>
    <row r="59" spans="4:5" x14ac:dyDescent="0.25">
      <c r="D59">
        <f>SUMPRODUCT(('RECETAS'!B59:B157=A59)*'RECETAS'!C59:C157*(SUMIF(VENTAS!B59:B1057,'RECETAS'!A59:A157,VENTAS!C59:C1057)))</f>
        <v>0</v>
      </c>
      <c r="E59">
        <f t="shared" si="1"/>
        <v>0</v>
      </c>
    </row>
    <row r="60" spans="4:5" x14ac:dyDescent="0.25">
      <c r="D60">
        <f>SUMPRODUCT(('RECETAS'!B60:B158=A60)*'RECETAS'!C60:C158*(SUMIF(VENTAS!B60:B1058,'RECETAS'!A60:A158,VENTAS!C60:C1058)))</f>
        <v>0</v>
      </c>
      <c r="E60">
        <f t="shared" si="1"/>
        <v>0</v>
      </c>
    </row>
    <row r="61" spans="4:5" x14ac:dyDescent="0.25">
      <c r="D61">
        <f>SUMPRODUCT(('RECETAS'!B61:B159=A61)*'RECETAS'!C61:C159*(SUMIF(VENTAS!B61:B1059,'RECETAS'!A61:A159,VENTAS!C61:C1059)))</f>
        <v>0</v>
      </c>
      <c r="E61">
        <f t="shared" si="1"/>
        <v>0</v>
      </c>
    </row>
    <row r="62" spans="4:5" x14ac:dyDescent="0.25">
      <c r="D62">
        <f>SUMPRODUCT(('RECETAS'!B62:B160=A62)*'RECETAS'!C62:C160*(SUMIF(VENTAS!B62:B1060,'RECETAS'!A62:A160,VENTAS!C62:C1060)))</f>
        <v>0</v>
      </c>
      <c r="E62">
        <f t="shared" si="1"/>
        <v>0</v>
      </c>
    </row>
    <row r="63" spans="4:5" x14ac:dyDescent="0.25">
      <c r="D63">
        <f>SUMPRODUCT(('RECETAS'!B63:B161=A63)*'RECETAS'!C63:C161*(SUMIF(VENTAS!B63:B1061,'RECETAS'!A63:A161,VENTAS!C63:C1061)))</f>
        <v>0</v>
      </c>
      <c r="E63">
        <f t="shared" si="1"/>
        <v>0</v>
      </c>
    </row>
    <row r="64" spans="4:5" x14ac:dyDescent="0.25">
      <c r="D64">
        <f>SUMPRODUCT(('RECETAS'!B64:B162=A64)*'RECETAS'!C64:C162*(SUMIF(VENTAS!B64:B1062,'RECETAS'!A64:A162,VENTAS!C64:C1062)))</f>
        <v>0</v>
      </c>
      <c r="E64">
        <f t="shared" si="1"/>
        <v>0</v>
      </c>
    </row>
    <row r="65" spans="4:5" x14ac:dyDescent="0.25">
      <c r="D65">
        <f>SUMPRODUCT(('RECETAS'!B65:B163=A65)*'RECETAS'!C65:C163*(SUMIF(VENTAS!B65:B1063,'RECETAS'!A65:A163,VENTAS!C65:C1063)))</f>
        <v>0</v>
      </c>
      <c r="E65">
        <f t="shared" si="1"/>
        <v>0</v>
      </c>
    </row>
    <row r="66" spans="4:5" x14ac:dyDescent="0.25">
      <c r="D66">
        <f>SUMPRODUCT(('RECETAS'!B66:B164=A66)*'RECETAS'!C66:C164*(SUMIF(VENTAS!B66:B1064,'RECETAS'!A66:A164,VENTAS!C66:C1064)))</f>
        <v>0</v>
      </c>
      <c r="E66">
        <f t="shared" ref="E66:E97" si="2">B66+C66-D66</f>
        <v>0</v>
      </c>
    </row>
    <row r="67" spans="4:5" x14ac:dyDescent="0.25">
      <c r="D67">
        <f>SUMPRODUCT(('RECETAS'!B67:B165=A67)*'RECETAS'!C67:C165*(SUMIF(VENTAS!B67:B1065,'RECETAS'!A67:A165,VENTAS!C67:C1065)))</f>
        <v>0</v>
      </c>
      <c r="E67">
        <f t="shared" si="2"/>
        <v>0</v>
      </c>
    </row>
    <row r="68" spans="4:5" x14ac:dyDescent="0.25">
      <c r="D68">
        <f>SUMPRODUCT(('RECETAS'!B68:B166=A68)*'RECETAS'!C68:C166*(SUMIF(VENTAS!B68:B1066,'RECETAS'!A68:A166,VENTAS!C68:C1066)))</f>
        <v>0</v>
      </c>
      <c r="E68">
        <f t="shared" si="2"/>
        <v>0</v>
      </c>
    </row>
    <row r="69" spans="4:5" x14ac:dyDescent="0.25">
      <c r="D69">
        <f>SUMPRODUCT(('RECETAS'!B69:B167=A69)*'RECETAS'!C69:C167*(SUMIF(VENTAS!B69:B1067,'RECETAS'!A69:A167,VENTAS!C69:C1067)))</f>
        <v>0</v>
      </c>
      <c r="E69">
        <f t="shared" si="2"/>
        <v>0</v>
      </c>
    </row>
    <row r="70" spans="4:5" x14ac:dyDescent="0.25">
      <c r="D70">
        <f>SUMPRODUCT(('RECETAS'!B70:B168=A70)*'RECETAS'!C70:C168*(SUMIF(VENTAS!B70:B1068,'RECETAS'!A70:A168,VENTAS!C70:C1068)))</f>
        <v>0</v>
      </c>
      <c r="E70">
        <f t="shared" si="2"/>
        <v>0</v>
      </c>
    </row>
    <row r="71" spans="4:5" x14ac:dyDescent="0.25">
      <c r="D71">
        <f>SUMPRODUCT(('RECETAS'!B71:B169=A71)*'RECETAS'!C71:C169*(SUMIF(VENTAS!B71:B1069,'RECETAS'!A71:A169,VENTAS!C71:C1069)))</f>
        <v>0</v>
      </c>
      <c r="E71">
        <f t="shared" si="2"/>
        <v>0</v>
      </c>
    </row>
    <row r="72" spans="4:5" x14ac:dyDescent="0.25">
      <c r="D72">
        <f>SUMPRODUCT(('RECETAS'!B72:B170=A72)*'RECETAS'!C72:C170*(SUMIF(VENTAS!B72:B1070,'RECETAS'!A72:A170,VENTAS!C72:C1070)))</f>
        <v>0</v>
      </c>
      <c r="E72">
        <f t="shared" si="2"/>
        <v>0</v>
      </c>
    </row>
    <row r="73" spans="4:5" x14ac:dyDescent="0.25">
      <c r="D73">
        <f>SUMPRODUCT(('RECETAS'!B73:B171=A73)*'RECETAS'!C73:C171*(SUMIF(VENTAS!B73:B1071,'RECETAS'!A73:A171,VENTAS!C73:C1071)))</f>
        <v>0</v>
      </c>
      <c r="E73">
        <f t="shared" si="2"/>
        <v>0</v>
      </c>
    </row>
    <row r="74" spans="4:5" x14ac:dyDescent="0.25">
      <c r="D74">
        <f>SUMPRODUCT(('RECETAS'!B74:B172=A74)*'RECETAS'!C74:C172*(SUMIF(VENTAS!B74:B1072,'RECETAS'!A74:A172,VENTAS!C74:C1072)))</f>
        <v>0</v>
      </c>
      <c r="E74">
        <f t="shared" si="2"/>
        <v>0</v>
      </c>
    </row>
    <row r="75" spans="4:5" x14ac:dyDescent="0.25">
      <c r="D75">
        <f>SUMPRODUCT(('RECETAS'!B75:B173=A75)*'RECETAS'!C75:C173*(SUMIF(VENTAS!B75:B1073,'RECETAS'!A75:A173,VENTAS!C75:C1073)))</f>
        <v>0</v>
      </c>
      <c r="E75">
        <f t="shared" si="2"/>
        <v>0</v>
      </c>
    </row>
    <row r="76" spans="4:5" x14ac:dyDescent="0.25">
      <c r="D76">
        <f>SUMPRODUCT(('RECETAS'!B76:B174=A76)*'RECETAS'!C76:C174*(SUMIF(VENTAS!B76:B1074,'RECETAS'!A76:A174,VENTAS!C76:C1074)))</f>
        <v>0</v>
      </c>
      <c r="E76">
        <f t="shared" si="2"/>
        <v>0</v>
      </c>
    </row>
    <row r="77" spans="4:5" x14ac:dyDescent="0.25">
      <c r="D77">
        <f>SUMPRODUCT(('RECETAS'!B77:B175=A77)*'RECETAS'!C77:C175*(SUMIF(VENTAS!B77:B1075,'RECETAS'!A77:A175,VENTAS!C77:C1075)))</f>
        <v>0</v>
      </c>
      <c r="E77">
        <f t="shared" si="2"/>
        <v>0</v>
      </c>
    </row>
    <row r="78" spans="4:5" x14ac:dyDescent="0.25">
      <c r="D78">
        <f>SUMPRODUCT(('RECETAS'!B78:B176=A78)*'RECETAS'!C78:C176*(SUMIF(VENTAS!B78:B1076,'RECETAS'!A78:A176,VENTAS!C78:C1076)))</f>
        <v>0</v>
      </c>
      <c r="E78">
        <f t="shared" si="2"/>
        <v>0</v>
      </c>
    </row>
    <row r="79" spans="4:5" x14ac:dyDescent="0.25">
      <c r="D79">
        <f>SUMPRODUCT(('RECETAS'!B79:B177=A79)*'RECETAS'!C79:C177*(SUMIF(VENTAS!B79:B1077,'RECETAS'!A79:A177,VENTAS!C79:C1077)))</f>
        <v>0</v>
      </c>
      <c r="E79">
        <f t="shared" si="2"/>
        <v>0</v>
      </c>
    </row>
    <row r="80" spans="4:5" x14ac:dyDescent="0.25">
      <c r="D80">
        <f>SUMPRODUCT(('RECETAS'!B80:B178=A80)*'RECETAS'!C80:C178*(SUMIF(VENTAS!B80:B1078,'RECETAS'!A80:A178,VENTAS!C80:C1078)))</f>
        <v>0</v>
      </c>
      <c r="E80">
        <f t="shared" si="2"/>
        <v>0</v>
      </c>
    </row>
    <row r="81" spans="4:5" x14ac:dyDescent="0.25">
      <c r="D81">
        <f>SUMPRODUCT(('RECETAS'!B81:B179=A81)*'RECETAS'!C81:C179*(SUMIF(VENTAS!B81:B1079,'RECETAS'!A81:A179,VENTAS!C81:C1079)))</f>
        <v>0</v>
      </c>
      <c r="E81">
        <f t="shared" si="2"/>
        <v>0</v>
      </c>
    </row>
    <row r="82" spans="4:5" x14ac:dyDescent="0.25">
      <c r="D82">
        <f>SUMPRODUCT(('RECETAS'!B82:B180=A82)*'RECETAS'!C82:C180*(SUMIF(VENTAS!B82:B1080,'RECETAS'!A82:A180,VENTAS!C82:C1080)))</f>
        <v>0</v>
      </c>
      <c r="E82">
        <f t="shared" si="2"/>
        <v>0</v>
      </c>
    </row>
    <row r="83" spans="4:5" x14ac:dyDescent="0.25">
      <c r="D83">
        <f>SUMPRODUCT(('RECETAS'!B83:B181=A83)*'RECETAS'!C83:C181*(SUMIF(VENTAS!B83:B1081,'RECETAS'!A83:A181,VENTAS!C83:C1081)))</f>
        <v>0</v>
      </c>
      <c r="E83">
        <f t="shared" si="2"/>
        <v>0</v>
      </c>
    </row>
    <row r="84" spans="4:5" x14ac:dyDescent="0.25">
      <c r="D84">
        <f>SUMPRODUCT(('RECETAS'!B84:B182=A84)*'RECETAS'!C84:C182*(SUMIF(VENTAS!B84:B1082,'RECETAS'!A84:A182,VENTAS!C84:C1082)))</f>
        <v>0</v>
      </c>
      <c r="E84">
        <f t="shared" si="2"/>
        <v>0</v>
      </c>
    </row>
    <row r="85" spans="4:5" x14ac:dyDescent="0.25">
      <c r="D85">
        <f>SUMPRODUCT(('RECETAS'!B85:B183=A85)*'RECETAS'!C85:C183*(SUMIF(VENTAS!B85:B1083,'RECETAS'!A85:A183,VENTAS!C85:C1083)))</f>
        <v>0</v>
      </c>
      <c r="E85">
        <f t="shared" si="2"/>
        <v>0</v>
      </c>
    </row>
    <row r="86" spans="4:5" x14ac:dyDescent="0.25">
      <c r="D86">
        <f>SUMPRODUCT(('RECETAS'!B86:B184=A86)*'RECETAS'!C86:C184*(SUMIF(VENTAS!B86:B1084,'RECETAS'!A86:A184,VENTAS!C86:C1084)))</f>
        <v>0</v>
      </c>
      <c r="E86">
        <f t="shared" si="2"/>
        <v>0</v>
      </c>
    </row>
    <row r="87" spans="4:5" x14ac:dyDescent="0.25">
      <c r="D87">
        <f>SUMPRODUCT(('RECETAS'!B87:B185=A87)*'RECETAS'!C87:C185*(SUMIF(VENTAS!B87:B1085,'RECETAS'!A87:A185,VENTAS!C87:C1085)))</f>
        <v>0</v>
      </c>
      <c r="E87">
        <f t="shared" si="2"/>
        <v>0</v>
      </c>
    </row>
    <row r="88" spans="4:5" x14ac:dyDescent="0.25">
      <c r="D88">
        <f>SUMPRODUCT(('RECETAS'!B88:B186=A88)*'RECETAS'!C88:C186*(SUMIF(VENTAS!B88:B1086,'RECETAS'!A88:A186,VENTAS!C88:C1086)))</f>
        <v>0</v>
      </c>
      <c r="E88">
        <f t="shared" si="2"/>
        <v>0</v>
      </c>
    </row>
    <row r="89" spans="4:5" x14ac:dyDescent="0.25">
      <c r="D89">
        <f>SUMPRODUCT(('RECETAS'!B89:B187=A89)*'RECETAS'!C89:C187*(SUMIF(VENTAS!B89:B1087,'RECETAS'!A89:A187,VENTAS!C89:C1087)))</f>
        <v>0</v>
      </c>
      <c r="E89">
        <f t="shared" si="2"/>
        <v>0</v>
      </c>
    </row>
    <row r="90" spans="4:5" x14ac:dyDescent="0.25">
      <c r="D90">
        <f>SUMPRODUCT(('RECETAS'!B90:B188=A90)*'RECETAS'!C90:C188*(SUMIF(VENTAS!B90:B1088,'RECETAS'!A90:A188,VENTAS!C90:C1088)))</f>
        <v>0</v>
      </c>
      <c r="E90">
        <f t="shared" si="2"/>
        <v>0</v>
      </c>
    </row>
    <row r="91" spans="4:5" x14ac:dyDescent="0.25">
      <c r="D91">
        <f>SUMPRODUCT(('RECETAS'!B91:B189=A91)*'RECETAS'!C91:C189*(SUMIF(VENTAS!B91:B1089,'RECETAS'!A91:A189,VENTAS!C91:C1089)))</f>
        <v>0</v>
      </c>
      <c r="E91">
        <f t="shared" si="2"/>
        <v>0</v>
      </c>
    </row>
    <row r="92" spans="4:5" x14ac:dyDescent="0.25">
      <c r="D92">
        <f>SUMPRODUCT(('RECETAS'!B92:B190=A92)*'RECETAS'!C92:C190*(SUMIF(VENTAS!B92:B1090,'RECETAS'!A92:A190,VENTAS!C92:C1090)))</f>
        <v>0</v>
      </c>
      <c r="E92">
        <f t="shared" si="2"/>
        <v>0</v>
      </c>
    </row>
    <row r="93" spans="4:5" x14ac:dyDescent="0.25">
      <c r="D93">
        <f>SUMPRODUCT(('RECETAS'!B93:B191=A93)*'RECETAS'!C93:C191*(SUMIF(VENTAS!B93:B1091,'RECETAS'!A93:A191,VENTAS!C93:C1091)))</f>
        <v>0</v>
      </c>
      <c r="E93">
        <f t="shared" si="2"/>
        <v>0</v>
      </c>
    </row>
    <row r="94" spans="4:5" x14ac:dyDescent="0.25">
      <c r="D94">
        <f>SUMPRODUCT(('RECETAS'!B94:B192=A94)*'RECETAS'!C94:C192*(SUMIF(VENTAS!B94:B1092,'RECETAS'!A94:A192,VENTAS!C94:C1092)))</f>
        <v>0</v>
      </c>
      <c r="E94">
        <f t="shared" si="2"/>
        <v>0</v>
      </c>
    </row>
    <row r="95" spans="4:5" x14ac:dyDescent="0.25">
      <c r="D95">
        <f>SUMPRODUCT(('RECETAS'!B95:B193=A95)*'RECETAS'!C95:C193*(SUMIF(VENTAS!B95:B1093,'RECETAS'!A95:A193,VENTAS!C95:C1093)))</f>
        <v>0</v>
      </c>
      <c r="E95">
        <f t="shared" si="2"/>
        <v>0</v>
      </c>
    </row>
    <row r="96" spans="4:5" x14ac:dyDescent="0.25">
      <c r="D96">
        <f>SUMPRODUCT(('RECETAS'!B96:B194=A96)*'RECETAS'!C96:C194*(SUMIF(VENTAS!B96:B1094,'RECETAS'!A96:A194,VENTAS!C96:C1094)))</f>
        <v>0</v>
      </c>
      <c r="E96">
        <f t="shared" si="2"/>
        <v>0</v>
      </c>
    </row>
    <row r="97" spans="4:5" x14ac:dyDescent="0.25">
      <c r="D97">
        <f>SUMPRODUCT(('RECETAS'!B97:B195=A97)*'RECETAS'!C97:C195*(SUMIF(VENTAS!B97:B1095,'RECETAS'!A97:A195,VENTAS!C97:C1095)))</f>
        <v>0</v>
      </c>
      <c r="E97">
        <f t="shared" si="2"/>
        <v>0</v>
      </c>
    </row>
    <row r="98" spans="4:5" x14ac:dyDescent="0.25">
      <c r="D98">
        <f>SUMPRODUCT(('RECETAS'!B98:B196=A98)*'RECETAS'!C98:C196*(SUMIF(VENTAS!B98:B1096,'RECETAS'!A98:A196,VENTAS!C98:C1096)))</f>
        <v>0</v>
      </c>
      <c r="E98">
        <f t="shared" ref="E98:E129" si="3">B98+C98-D98</f>
        <v>0</v>
      </c>
    </row>
    <row r="99" spans="4:5" x14ac:dyDescent="0.25">
      <c r="D99">
        <f>SUMPRODUCT(('RECETAS'!B99:B197=A99)*'RECETAS'!C99:C197*(SUMIF(VENTAS!B99:B1097,'RECETAS'!A99:A197,VENTAS!C99:C1097)))</f>
        <v>0</v>
      </c>
      <c r="E99">
        <f t="shared" si="3"/>
        <v>0</v>
      </c>
    </row>
    <row r="100" spans="4:5" x14ac:dyDescent="0.25">
      <c r="D100">
        <f>SUMPRODUCT(('RECETAS'!B100:B198=A100)*'RECETAS'!C100:C198*(SUMIF(VENTAS!B100:B1098,'RECETAS'!A100:A198,VENTAS!C100:C1098)))</f>
        <v>0</v>
      </c>
      <c r="E100">
        <f t="shared" si="3"/>
        <v>0</v>
      </c>
    </row>
    <row r="101" spans="4:5" x14ac:dyDescent="0.25">
      <c r="D101">
        <f>SUMPRODUCT(('RECETAS'!B101:B199=A101)*'RECETAS'!C101:C199*(SUMIF(VENTAS!B101:B1099,'RECETAS'!A101:A199,VENTAS!C101:C1099)))</f>
        <v>0</v>
      </c>
      <c r="E101">
        <f t="shared" si="3"/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17.42578125" customWidth="1"/>
    <col min="2" max="2" width="16.28515625" customWidth="1"/>
    <col min="3" max="3" width="16.7109375" customWidth="1"/>
  </cols>
  <sheetData>
    <row r="1" spans="1:3" x14ac:dyDescent="0.25">
      <c r="A1" s="1" t="s">
        <v>0</v>
      </c>
      <c r="B1" s="1" t="s">
        <v>4</v>
      </c>
      <c r="C1" s="1" t="s">
        <v>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3.42578125" customWidth="1"/>
    <col min="2" max="2" width="17" customWidth="1"/>
    <col min="3" max="3" width="16.7109375" customWidth="1"/>
    <col min="4" max="4" width="40" customWidth="1"/>
    <col min="5" max="5" width="14" customWidth="1"/>
    <col min="6" max="6" width="40" customWidth="1"/>
  </cols>
  <sheetData>
    <row r="1" spans="1:6" x14ac:dyDescent="0.25">
      <c r="A1" s="1" t="s">
        <v>10</v>
      </c>
      <c r="B1" s="1" t="s">
        <v>0</v>
      </c>
      <c r="C1" s="1" t="s">
        <v>9</v>
      </c>
      <c r="D1" s="1" t="s">
        <v>1</v>
      </c>
      <c r="E1" s="1" t="s">
        <v>11</v>
      </c>
      <c r="F1" s="1" t="s">
        <v>12</v>
      </c>
    </row>
    <row r="2" spans="1:6" x14ac:dyDescent="0.25">
      <c r="A2" s="2"/>
      <c r="E2">
        <f t="shared" ref="E2:E65" si="0">C2*D2</f>
        <v>0</v>
      </c>
      <c r="F2" t="str">
        <f t="shared" ref="F2:F65" si="1">IF(A2="","",TEXT(A2,"yyyy-mm"))</f>
        <v/>
      </c>
    </row>
    <row r="3" spans="1:6" x14ac:dyDescent="0.25">
      <c r="A3" s="2"/>
      <c r="E3">
        <f t="shared" si="0"/>
        <v>0</v>
      </c>
      <c r="F3" t="str">
        <f t="shared" si="1"/>
        <v/>
      </c>
    </row>
    <row r="4" spans="1:6" x14ac:dyDescent="0.25">
      <c r="A4" s="2"/>
      <c r="E4">
        <f t="shared" si="0"/>
        <v>0</v>
      </c>
      <c r="F4" t="str">
        <f t="shared" si="1"/>
        <v/>
      </c>
    </row>
    <row r="5" spans="1:6" x14ac:dyDescent="0.25">
      <c r="A5" s="2"/>
      <c r="D5" t="str">
        <f>IFERROR(VLOOKUP(B5,PRODUCTOS!A:B,2,FALSE),"")</f>
        <v/>
      </c>
      <c r="E5" t="e">
        <f t="shared" si="0"/>
        <v>#VALUE!</v>
      </c>
      <c r="F5" t="str">
        <f t="shared" si="1"/>
        <v/>
      </c>
    </row>
    <row r="6" spans="1:6" x14ac:dyDescent="0.25">
      <c r="A6" s="2"/>
      <c r="D6" t="str">
        <f>IFERROR(VLOOKUP(B6,PRODUCTOS!A:B,2,FALSE),"")</f>
        <v/>
      </c>
      <c r="E6" t="e">
        <f t="shared" si="0"/>
        <v>#VALUE!</v>
      </c>
      <c r="F6" t="str">
        <f t="shared" si="1"/>
        <v/>
      </c>
    </row>
    <row r="7" spans="1:6" x14ac:dyDescent="0.25">
      <c r="A7" s="2"/>
      <c r="D7" t="str">
        <f>IFERROR(VLOOKUP(B7,PRODUCTOS!A:B,2,FALSE),"")</f>
        <v/>
      </c>
      <c r="E7" t="e">
        <f t="shared" si="0"/>
        <v>#VALUE!</v>
      </c>
      <c r="F7" t="str">
        <f t="shared" si="1"/>
        <v/>
      </c>
    </row>
    <row r="8" spans="1:6" x14ac:dyDescent="0.25">
      <c r="A8" s="2"/>
      <c r="D8" t="str">
        <f>IFERROR(VLOOKUP(B8,PRODUCTOS!A:B,2,FALSE),"")</f>
        <v/>
      </c>
      <c r="E8" t="e">
        <f t="shared" si="0"/>
        <v>#VALUE!</v>
      </c>
      <c r="F8" t="str">
        <f t="shared" si="1"/>
        <v/>
      </c>
    </row>
    <row r="9" spans="1:6" x14ac:dyDescent="0.25">
      <c r="A9" s="2"/>
      <c r="D9" t="str">
        <f>IFERROR(VLOOKUP(B9,PRODUCTOS!A:B,2,FALSE),"")</f>
        <v/>
      </c>
      <c r="E9" t="e">
        <f t="shared" si="0"/>
        <v>#VALUE!</v>
      </c>
      <c r="F9" t="str">
        <f t="shared" si="1"/>
        <v/>
      </c>
    </row>
    <row r="10" spans="1:6" x14ac:dyDescent="0.25">
      <c r="D10" t="str">
        <f>IFERROR(VLOOKUP(B10,PRODUCTOS!A:B,2,FALSE),"")</f>
        <v/>
      </c>
      <c r="E10" t="e">
        <f t="shared" si="0"/>
        <v>#VALUE!</v>
      </c>
      <c r="F10" t="str">
        <f t="shared" si="1"/>
        <v/>
      </c>
    </row>
    <row r="11" spans="1:6" x14ac:dyDescent="0.25">
      <c r="D11" t="str">
        <f>IFERROR(VLOOKUP(B11,PRODUCTOS!A:B,2,FALSE),"")</f>
        <v/>
      </c>
      <c r="E11" t="e">
        <f t="shared" si="0"/>
        <v>#VALUE!</v>
      </c>
      <c r="F11" t="str">
        <f t="shared" si="1"/>
        <v/>
      </c>
    </row>
    <row r="12" spans="1:6" x14ac:dyDescent="0.25">
      <c r="D12" t="str">
        <f>IFERROR(VLOOKUP(B12,PRODUCTOS!A:B,2,FALSE),"")</f>
        <v/>
      </c>
      <c r="E12" t="e">
        <f t="shared" si="0"/>
        <v>#VALUE!</v>
      </c>
      <c r="F12" t="str">
        <f t="shared" si="1"/>
        <v/>
      </c>
    </row>
    <row r="13" spans="1:6" x14ac:dyDescent="0.25">
      <c r="D13" t="str">
        <f>IFERROR(VLOOKUP(B13,PRODUCTOS!A:B,2,FALSE),"")</f>
        <v/>
      </c>
      <c r="E13" t="e">
        <f t="shared" si="0"/>
        <v>#VALUE!</v>
      </c>
      <c r="F13" t="str">
        <f t="shared" si="1"/>
        <v/>
      </c>
    </row>
    <row r="14" spans="1:6" x14ac:dyDescent="0.25">
      <c r="D14" t="str">
        <f>IFERROR(VLOOKUP(B14,PRODUCTOS!A:B,2,FALSE),"")</f>
        <v/>
      </c>
      <c r="E14" t="e">
        <f t="shared" si="0"/>
        <v>#VALUE!</v>
      </c>
      <c r="F14" t="str">
        <f t="shared" si="1"/>
        <v/>
      </c>
    </row>
    <row r="15" spans="1:6" x14ac:dyDescent="0.25">
      <c r="D15" t="str">
        <f>IFERROR(VLOOKUP(B15,PRODUCTOS!A:B,2,FALSE),"")</f>
        <v/>
      </c>
      <c r="E15" t="e">
        <f t="shared" si="0"/>
        <v>#VALUE!</v>
      </c>
      <c r="F15" t="str">
        <f t="shared" si="1"/>
        <v/>
      </c>
    </row>
    <row r="16" spans="1:6" x14ac:dyDescent="0.25">
      <c r="D16" t="str">
        <f>IFERROR(VLOOKUP(B16,PRODUCTOS!A:B,2,FALSE),"")</f>
        <v/>
      </c>
      <c r="E16" t="e">
        <f t="shared" si="0"/>
        <v>#VALUE!</v>
      </c>
      <c r="F16" t="str">
        <f t="shared" si="1"/>
        <v/>
      </c>
    </row>
    <row r="17" spans="4:6" x14ac:dyDescent="0.25">
      <c r="D17" t="str">
        <f>IFERROR(VLOOKUP(B17,PRODUCTOS!A:B,2,FALSE),"")</f>
        <v/>
      </c>
      <c r="E17" t="e">
        <f t="shared" si="0"/>
        <v>#VALUE!</v>
      </c>
      <c r="F17" t="str">
        <f t="shared" si="1"/>
        <v/>
      </c>
    </row>
    <row r="18" spans="4:6" x14ac:dyDescent="0.25">
      <c r="D18" t="str">
        <f>IFERROR(VLOOKUP(B18,PRODUCTOS!A:B,2,FALSE),"")</f>
        <v/>
      </c>
      <c r="E18" t="e">
        <f t="shared" si="0"/>
        <v>#VALUE!</v>
      </c>
      <c r="F18" t="str">
        <f t="shared" si="1"/>
        <v/>
      </c>
    </row>
    <row r="19" spans="4:6" x14ac:dyDescent="0.25">
      <c r="D19" t="str">
        <f>IFERROR(VLOOKUP(B19,PRODUCTOS!A:B,2,FALSE),"")</f>
        <v/>
      </c>
      <c r="E19" t="e">
        <f t="shared" si="0"/>
        <v>#VALUE!</v>
      </c>
      <c r="F19" t="str">
        <f t="shared" si="1"/>
        <v/>
      </c>
    </row>
    <row r="20" spans="4:6" x14ac:dyDescent="0.25">
      <c r="D20" t="str">
        <f>IFERROR(VLOOKUP(B20,PRODUCTOS!A:B,2,FALSE),"")</f>
        <v/>
      </c>
      <c r="E20" t="e">
        <f t="shared" si="0"/>
        <v>#VALUE!</v>
      </c>
      <c r="F20" t="str">
        <f t="shared" si="1"/>
        <v/>
      </c>
    </row>
    <row r="21" spans="4:6" x14ac:dyDescent="0.25">
      <c r="D21" t="str">
        <f>IFERROR(VLOOKUP(B21,PRODUCTOS!A:B,2,FALSE),"")</f>
        <v/>
      </c>
      <c r="E21" t="e">
        <f t="shared" si="0"/>
        <v>#VALUE!</v>
      </c>
      <c r="F21" t="str">
        <f t="shared" si="1"/>
        <v/>
      </c>
    </row>
    <row r="22" spans="4:6" x14ac:dyDescent="0.25">
      <c r="D22" t="str">
        <f>IFERROR(VLOOKUP(B22,PRODUCTOS!A:B,2,FALSE),"")</f>
        <v/>
      </c>
      <c r="E22" t="e">
        <f t="shared" si="0"/>
        <v>#VALUE!</v>
      </c>
      <c r="F22" t="str">
        <f t="shared" si="1"/>
        <v/>
      </c>
    </row>
    <row r="23" spans="4:6" x14ac:dyDescent="0.25">
      <c r="D23" t="str">
        <f>IFERROR(VLOOKUP(B23,PRODUCTOS!A:B,2,FALSE),"")</f>
        <v/>
      </c>
      <c r="E23" t="e">
        <f t="shared" si="0"/>
        <v>#VALUE!</v>
      </c>
      <c r="F23" t="str">
        <f t="shared" si="1"/>
        <v/>
      </c>
    </row>
    <row r="24" spans="4:6" x14ac:dyDescent="0.25">
      <c r="D24" t="str">
        <f>IFERROR(VLOOKUP(B24,PRODUCTOS!A:B,2,FALSE),"")</f>
        <v/>
      </c>
      <c r="E24" t="e">
        <f t="shared" si="0"/>
        <v>#VALUE!</v>
      </c>
      <c r="F24" t="str">
        <f t="shared" si="1"/>
        <v/>
      </c>
    </row>
    <row r="25" spans="4:6" x14ac:dyDescent="0.25">
      <c r="D25" t="str">
        <f>IFERROR(VLOOKUP(B25,PRODUCTOS!A:B,2,FALSE),"")</f>
        <v/>
      </c>
      <c r="E25" t="e">
        <f t="shared" si="0"/>
        <v>#VALUE!</v>
      </c>
      <c r="F25" t="str">
        <f t="shared" si="1"/>
        <v/>
      </c>
    </row>
    <row r="26" spans="4:6" x14ac:dyDescent="0.25">
      <c r="D26" t="str">
        <f>IFERROR(VLOOKUP(B26,PRODUCTOS!A:B,2,FALSE),"")</f>
        <v/>
      </c>
      <c r="E26" t="e">
        <f t="shared" si="0"/>
        <v>#VALUE!</v>
      </c>
      <c r="F26" t="str">
        <f t="shared" si="1"/>
        <v/>
      </c>
    </row>
    <row r="27" spans="4:6" x14ac:dyDescent="0.25">
      <c r="D27" t="str">
        <f>IFERROR(VLOOKUP(B27,PRODUCTOS!A:B,2,FALSE),"")</f>
        <v/>
      </c>
      <c r="E27" t="e">
        <f t="shared" si="0"/>
        <v>#VALUE!</v>
      </c>
      <c r="F27" t="str">
        <f t="shared" si="1"/>
        <v/>
      </c>
    </row>
    <row r="28" spans="4:6" x14ac:dyDescent="0.25">
      <c r="D28" t="str">
        <f>IFERROR(VLOOKUP(B28,PRODUCTOS!A:B,2,FALSE),"")</f>
        <v/>
      </c>
      <c r="E28" t="e">
        <f t="shared" si="0"/>
        <v>#VALUE!</v>
      </c>
      <c r="F28" t="str">
        <f t="shared" si="1"/>
        <v/>
      </c>
    </row>
    <row r="29" spans="4:6" x14ac:dyDescent="0.25">
      <c r="D29" t="str">
        <f>IFERROR(VLOOKUP(B29,PRODUCTOS!A:B,2,FALSE),"")</f>
        <v/>
      </c>
      <c r="E29" t="e">
        <f t="shared" si="0"/>
        <v>#VALUE!</v>
      </c>
      <c r="F29" t="str">
        <f t="shared" si="1"/>
        <v/>
      </c>
    </row>
    <row r="30" spans="4:6" x14ac:dyDescent="0.25">
      <c r="D30" t="str">
        <f>IFERROR(VLOOKUP(B30,PRODUCTOS!A:B,2,FALSE),"")</f>
        <v/>
      </c>
      <c r="E30" t="e">
        <f t="shared" si="0"/>
        <v>#VALUE!</v>
      </c>
      <c r="F30" t="str">
        <f t="shared" si="1"/>
        <v/>
      </c>
    </row>
    <row r="31" spans="4:6" x14ac:dyDescent="0.25">
      <c r="D31" t="str">
        <f>IFERROR(VLOOKUP(B31,PRODUCTOS!A:B,2,FALSE),"")</f>
        <v/>
      </c>
      <c r="E31" t="e">
        <f t="shared" si="0"/>
        <v>#VALUE!</v>
      </c>
      <c r="F31" t="str">
        <f t="shared" si="1"/>
        <v/>
      </c>
    </row>
    <row r="32" spans="4:6" x14ac:dyDescent="0.25">
      <c r="D32" t="str">
        <f>IFERROR(VLOOKUP(B32,PRODUCTOS!A:B,2,FALSE),"")</f>
        <v/>
      </c>
      <c r="E32" t="e">
        <f t="shared" si="0"/>
        <v>#VALUE!</v>
      </c>
      <c r="F32" t="str">
        <f t="shared" si="1"/>
        <v/>
      </c>
    </row>
    <row r="33" spans="4:6" x14ac:dyDescent="0.25">
      <c r="D33" t="str">
        <f>IFERROR(VLOOKUP(B33,PRODUCTOS!A:B,2,FALSE),"")</f>
        <v/>
      </c>
      <c r="E33" t="e">
        <f t="shared" si="0"/>
        <v>#VALUE!</v>
      </c>
      <c r="F33" t="str">
        <f t="shared" si="1"/>
        <v/>
      </c>
    </row>
    <row r="34" spans="4:6" x14ac:dyDescent="0.25">
      <c r="D34" t="str">
        <f>IFERROR(VLOOKUP(B34,PRODUCTOS!A:B,2,FALSE),"")</f>
        <v/>
      </c>
      <c r="E34" t="e">
        <f t="shared" si="0"/>
        <v>#VALUE!</v>
      </c>
      <c r="F34" t="str">
        <f t="shared" si="1"/>
        <v/>
      </c>
    </row>
    <row r="35" spans="4:6" x14ac:dyDescent="0.25">
      <c r="D35" t="str">
        <f>IFERROR(VLOOKUP(B35,PRODUCTOS!A:B,2,FALSE),"")</f>
        <v/>
      </c>
      <c r="E35" t="e">
        <f t="shared" si="0"/>
        <v>#VALUE!</v>
      </c>
      <c r="F35" t="str">
        <f t="shared" si="1"/>
        <v/>
      </c>
    </row>
    <row r="36" spans="4:6" x14ac:dyDescent="0.25">
      <c r="D36" t="str">
        <f>IFERROR(VLOOKUP(B36,PRODUCTOS!A:B,2,FALSE),"")</f>
        <v/>
      </c>
      <c r="E36" t="e">
        <f t="shared" si="0"/>
        <v>#VALUE!</v>
      </c>
      <c r="F36" t="str">
        <f t="shared" si="1"/>
        <v/>
      </c>
    </row>
    <row r="37" spans="4:6" x14ac:dyDescent="0.25">
      <c r="D37" t="str">
        <f>IFERROR(VLOOKUP(B37,PRODUCTOS!A:B,2,FALSE),"")</f>
        <v/>
      </c>
      <c r="E37" t="e">
        <f t="shared" si="0"/>
        <v>#VALUE!</v>
      </c>
      <c r="F37" t="str">
        <f t="shared" si="1"/>
        <v/>
      </c>
    </row>
    <row r="38" spans="4:6" x14ac:dyDescent="0.25">
      <c r="D38" t="str">
        <f>IFERROR(VLOOKUP(B38,PRODUCTOS!A:B,2,FALSE),"")</f>
        <v/>
      </c>
      <c r="E38" t="e">
        <f t="shared" si="0"/>
        <v>#VALUE!</v>
      </c>
      <c r="F38" t="str">
        <f t="shared" si="1"/>
        <v/>
      </c>
    </row>
    <row r="39" spans="4:6" x14ac:dyDescent="0.25">
      <c r="D39" t="str">
        <f>IFERROR(VLOOKUP(B39,PRODUCTOS!A:B,2,FALSE),"")</f>
        <v/>
      </c>
      <c r="E39" t="e">
        <f t="shared" si="0"/>
        <v>#VALUE!</v>
      </c>
      <c r="F39" t="str">
        <f t="shared" si="1"/>
        <v/>
      </c>
    </row>
    <row r="40" spans="4:6" x14ac:dyDescent="0.25">
      <c r="D40" t="str">
        <f>IFERROR(VLOOKUP(B40,PRODUCTOS!A:B,2,FALSE),"")</f>
        <v/>
      </c>
      <c r="E40" t="e">
        <f t="shared" si="0"/>
        <v>#VALUE!</v>
      </c>
      <c r="F40" t="str">
        <f t="shared" si="1"/>
        <v/>
      </c>
    </row>
    <row r="41" spans="4:6" x14ac:dyDescent="0.25">
      <c r="D41" t="str">
        <f>IFERROR(VLOOKUP(B41,PRODUCTOS!A:B,2,FALSE),"")</f>
        <v/>
      </c>
      <c r="E41" t="e">
        <f t="shared" si="0"/>
        <v>#VALUE!</v>
      </c>
      <c r="F41" t="str">
        <f t="shared" si="1"/>
        <v/>
      </c>
    </row>
    <row r="42" spans="4:6" x14ac:dyDescent="0.25">
      <c r="D42" t="str">
        <f>IFERROR(VLOOKUP(B42,PRODUCTOS!A:B,2,FALSE),"")</f>
        <v/>
      </c>
      <c r="E42" t="e">
        <f t="shared" si="0"/>
        <v>#VALUE!</v>
      </c>
      <c r="F42" t="str">
        <f t="shared" si="1"/>
        <v/>
      </c>
    </row>
    <row r="43" spans="4:6" x14ac:dyDescent="0.25">
      <c r="D43" t="str">
        <f>IFERROR(VLOOKUP(B43,PRODUCTOS!A:B,2,FALSE),"")</f>
        <v/>
      </c>
      <c r="E43" t="e">
        <f t="shared" si="0"/>
        <v>#VALUE!</v>
      </c>
      <c r="F43" t="str">
        <f t="shared" si="1"/>
        <v/>
      </c>
    </row>
    <row r="44" spans="4:6" x14ac:dyDescent="0.25">
      <c r="D44" t="str">
        <f>IFERROR(VLOOKUP(B44,PRODUCTOS!A:B,2,FALSE),"")</f>
        <v/>
      </c>
      <c r="E44" t="e">
        <f t="shared" si="0"/>
        <v>#VALUE!</v>
      </c>
      <c r="F44" t="str">
        <f t="shared" si="1"/>
        <v/>
      </c>
    </row>
    <row r="45" spans="4:6" x14ac:dyDescent="0.25">
      <c r="D45" t="str">
        <f>IFERROR(VLOOKUP(B45,PRODUCTOS!A:B,2,FALSE),"")</f>
        <v/>
      </c>
      <c r="E45" t="e">
        <f t="shared" si="0"/>
        <v>#VALUE!</v>
      </c>
      <c r="F45" t="str">
        <f t="shared" si="1"/>
        <v/>
      </c>
    </row>
    <row r="46" spans="4:6" x14ac:dyDescent="0.25">
      <c r="D46" t="str">
        <f>IFERROR(VLOOKUP(B46,PRODUCTOS!A:B,2,FALSE),"")</f>
        <v/>
      </c>
      <c r="E46" t="e">
        <f t="shared" si="0"/>
        <v>#VALUE!</v>
      </c>
      <c r="F46" t="str">
        <f t="shared" si="1"/>
        <v/>
      </c>
    </row>
    <row r="47" spans="4:6" x14ac:dyDescent="0.25">
      <c r="D47" t="str">
        <f>IFERROR(VLOOKUP(B47,PRODUCTOS!A:B,2,FALSE),"")</f>
        <v/>
      </c>
      <c r="E47" t="e">
        <f t="shared" si="0"/>
        <v>#VALUE!</v>
      </c>
      <c r="F47" t="str">
        <f t="shared" si="1"/>
        <v/>
      </c>
    </row>
    <row r="48" spans="4:6" x14ac:dyDescent="0.25">
      <c r="D48" t="str">
        <f>IFERROR(VLOOKUP(B48,PRODUCTOS!A:B,2,FALSE),"")</f>
        <v/>
      </c>
      <c r="E48" t="e">
        <f t="shared" si="0"/>
        <v>#VALUE!</v>
      </c>
      <c r="F48" t="str">
        <f t="shared" si="1"/>
        <v/>
      </c>
    </row>
    <row r="49" spans="4:6" x14ac:dyDescent="0.25">
      <c r="D49" t="str">
        <f>IFERROR(VLOOKUP(B49,PRODUCTOS!A:B,2,FALSE),"")</f>
        <v/>
      </c>
      <c r="E49" t="e">
        <f t="shared" si="0"/>
        <v>#VALUE!</v>
      </c>
      <c r="F49" t="str">
        <f t="shared" si="1"/>
        <v/>
      </c>
    </row>
    <row r="50" spans="4:6" x14ac:dyDescent="0.25">
      <c r="D50" t="str">
        <f>IFERROR(VLOOKUP(B50,PRODUCTOS!A:B,2,FALSE),"")</f>
        <v/>
      </c>
      <c r="E50" t="e">
        <f t="shared" si="0"/>
        <v>#VALUE!</v>
      </c>
      <c r="F50" t="str">
        <f t="shared" si="1"/>
        <v/>
      </c>
    </row>
    <row r="51" spans="4:6" x14ac:dyDescent="0.25">
      <c r="D51" t="str">
        <f>IFERROR(VLOOKUP(B51,PRODUCTOS!A:B,2,FALSE),"")</f>
        <v/>
      </c>
      <c r="E51" t="e">
        <f t="shared" si="0"/>
        <v>#VALUE!</v>
      </c>
      <c r="F51" t="str">
        <f t="shared" si="1"/>
        <v/>
      </c>
    </row>
    <row r="52" spans="4:6" x14ac:dyDescent="0.25">
      <c r="D52" t="str">
        <f>IFERROR(VLOOKUP(B52,PRODUCTOS!A:B,2,FALSE),"")</f>
        <v/>
      </c>
      <c r="E52" t="e">
        <f t="shared" si="0"/>
        <v>#VALUE!</v>
      </c>
      <c r="F52" t="str">
        <f t="shared" si="1"/>
        <v/>
      </c>
    </row>
    <row r="53" spans="4:6" x14ac:dyDescent="0.25">
      <c r="D53" t="str">
        <f>IFERROR(VLOOKUP(B53,PRODUCTOS!A:B,2,FALSE),"")</f>
        <v/>
      </c>
      <c r="E53" t="e">
        <f t="shared" si="0"/>
        <v>#VALUE!</v>
      </c>
      <c r="F53" t="str">
        <f t="shared" si="1"/>
        <v/>
      </c>
    </row>
    <row r="54" spans="4:6" x14ac:dyDescent="0.25">
      <c r="D54" t="str">
        <f>IFERROR(VLOOKUP(B54,PRODUCTOS!A:B,2,FALSE),"")</f>
        <v/>
      </c>
      <c r="E54" t="e">
        <f t="shared" si="0"/>
        <v>#VALUE!</v>
      </c>
      <c r="F54" t="str">
        <f t="shared" si="1"/>
        <v/>
      </c>
    </row>
    <row r="55" spans="4:6" x14ac:dyDescent="0.25">
      <c r="D55" t="str">
        <f>IFERROR(VLOOKUP(B55,PRODUCTOS!A:B,2,FALSE),"")</f>
        <v/>
      </c>
      <c r="E55" t="e">
        <f t="shared" si="0"/>
        <v>#VALUE!</v>
      </c>
      <c r="F55" t="str">
        <f t="shared" si="1"/>
        <v/>
      </c>
    </row>
    <row r="56" spans="4:6" x14ac:dyDescent="0.25">
      <c r="D56" t="str">
        <f>IFERROR(VLOOKUP(B56,PRODUCTOS!A:B,2,FALSE),"")</f>
        <v/>
      </c>
      <c r="E56" t="e">
        <f t="shared" si="0"/>
        <v>#VALUE!</v>
      </c>
      <c r="F56" t="str">
        <f t="shared" si="1"/>
        <v/>
      </c>
    </row>
    <row r="57" spans="4:6" x14ac:dyDescent="0.25">
      <c r="D57" t="str">
        <f>IFERROR(VLOOKUP(B57,PRODUCTOS!A:B,2,FALSE),"")</f>
        <v/>
      </c>
      <c r="E57" t="e">
        <f t="shared" si="0"/>
        <v>#VALUE!</v>
      </c>
      <c r="F57" t="str">
        <f t="shared" si="1"/>
        <v/>
      </c>
    </row>
    <row r="58" spans="4:6" x14ac:dyDescent="0.25">
      <c r="D58" t="str">
        <f>IFERROR(VLOOKUP(B58,PRODUCTOS!A:B,2,FALSE),"")</f>
        <v/>
      </c>
      <c r="E58" t="e">
        <f t="shared" si="0"/>
        <v>#VALUE!</v>
      </c>
      <c r="F58" t="str">
        <f t="shared" si="1"/>
        <v/>
      </c>
    </row>
    <row r="59" spans="4:6" x14ac:dyDescent="0.25">
      <c r="D59" t="str">
        <f>IFERROR(VLOOKUP(B59,PRODUCTOS!A:B,2,FALSE),"")</f>
        <v/>
      </c>
      <c r="E59" t="e">
        <f t="shared" si="0"/>
        <v>#VALUE!</v>
      </c>
      <c r="F59" t="str">
        <f t="shared" si="1"/>
        <v/>
      </c>
    </row>
    <row r="60" spans="4:6" x14ac:dyDescent="0.25">
      <c r="D60" t="str">
        <f>IFERROR(VLOOKUP(B60,PRODUCTOS!A:B,2,FALSE),"")</f>
        <v/>
      </c>
      <c r="E60" t="e">
        <f t="shared" si="0"/>
        <v>#VALUE!</v>
      </c>
      <c r="F60" t="str">
        <f t="shared" si="1"/>
        <v/>
      </c>
    </row>
    <row r="61" spans="4:6" x14ac:dyDescent="0.25">
      <c r="D61" t="str">
        <f>IFERROR(VLOOKUP(B61,PRODUCTOS!A:B,2,FALSE),"")</f>
        <v/>
      </c>
      <c r="E61" t="e">
        <f t="shared" si="0"/>
        <v>#VALUE!</v>
      </c>
      <c r="F61" t="str">
        <f t="shared" si="1"/>
        <v/>
      </c>
    </row>
    <row r="62" spans="4:6" x14ac:dyDescent="0.25">
      <c r="D62" t="str">
        <f>IFERROR(VLOOKUP(B62,PRODUCTOS!A:B,2,FALSE),"")</f>
        <v/>
      </c>
      <c r="E62" t="e">
        <f t="shared" si="0"/>
        <v>#VALUE!</v>
      </c>
      <c r="F62" t="str">
        <f t="shared" si="1"/>
        <v/>
      </c>
    </row>
    <row r="63" spans="4:6" x14ac:dyDescent="0.25">
      <c r="D63" t="str">
        <f>IFERROR(VLOOKUP(B63,PRODUCTOS!A:B,2,FALSE),"")</f>
        <v/>
      </c>
      <c r="E63" t="e">
        <f t="shared" si="0"/>
        <v>#VALUE!</v>
      </c>
      <c r="F63" t="str">
        <f t="shared" si="1"/>
        <v/>
      </c>
    </row>
    <row r="64" spans="4:6" x14ac:dyDescent="0.25">
      <c r="D64" t="str">
        <f>IFERROR(VLOOKUP(B64,PRODUCTOS!A:B,2,FALSE),"")</f>
        <v/>
      </c>
      <c r="E64" t="e">
        <f t="shared" si="0"/>
        <v>#VALUE!</v>
      </c>
      <c r="F64" t="str">
        <f t="shared" si="1"/>
        <v/>
      </c>
    </row>
    <row r="65" spans="4:6" x14ac:dyDescent="0.25">
      <c r="D65" t="str">
        <f>IFERROR(VLOOKUP(B65,PRODUCTOS!A:B,2,FALSE),"")</f>
        <v/>
      </c>
      <c r="E65" t="e">
        <f t="shared" si="0"/>
        <v>#VALUE!</v>
      </c>
      <c r="F65" t="str">
        <f t="shared" si="1"/>
        <v/>
      </c>
    </row>
    <row r="66" spans="4:6" x14ac:dyDescent="0.25">
      <c r="D66" t="str">
        <f>IFERROR(VLOOKUP(B66,PRODUCTOS!A:B,2,FALSE),"")</f>
        <v/>
      </c>
      <c r="E66" t="e">
        <f t="shared" ref="E66:E129" si="2">C66*D66</f>
        <v>#VALUE!</v>
      </c>
      <c r="F66" t="str">
        <f t="shared" ref="F66:F129" si="3">IF(A66="","",TEXT(A66,"yyyy-mm"))</f>
        <v/>
      </c>
    </row>
    <row r="67" spans="4:6" x14ac:dyDescent="0.25">
      <c r="D67" t="str">
        <f>IFERROR(VLOOKUP(B67,PRODUCTOS!A:B,2,FALSE),"")</f>
        <v/>
      </c>
      <c r="E67" t="e">
        <f t="shared" si="2"/>
        <v>#VALUE!</v>
      </c>
      <c r="F67" t="str">
        <f t="shared" si="3"/>
        <v/>
      </c>
    </row>
    <row r="68" spans="4:6" x14ac:dyDescent="0.25">
      <c r="D68" t="str">
        <f>IFERROR(VLOOKUP(B68,PRODUCTOS!A:B,2,FALSE),"")</f>
        <v/>
      </c>
      <c r="E68" t="e">
        <f t="shared" si="2"/>
        <v>#VALUE!</v>
      </c>
      <c r="F68" t="str">
        <f t="shared" si="3"/>
        <v/>
      </c>
    </row>
    <row r="69" spans="4:6" x14ac:dyDescent="0.25">
      <c r="D69" t="str">
        <f>IFERROR(VLOOKUP(B69,PRODUCTOS!A:B,2,FALSE),"")</f>
        <v/>
      </c>
      <c r="E69" t="e">
        <f t="shared" si="2"/>
        <v>#VALUE!</v>
      </c>
      <c r="F69" t="str">
        <f t="shared" si="3"/>
        <v/>
      </c>
    </row>
    <row r="70" spans="4:6" x14ac:dyDescent="0.25">
      <c r="D70" t="str">
        <f>IFERROR(VLOOKUP(B70,PRODUCTOS!A:B,2,FALSE),"")</f>
        <v/>
      </c>
      <c r="E70" t="e">
        <f t="shared" si="2"/>
        <v>#VALUE!</v>
      </c>
      <c r="F70" t="str">
        <f t="shared" si="3"/>
        <v/>
      </c>
    </row>
    <row r="71" spans="4:6" x14ac:dyDescent="0.25">
      <c r="D71" t="str">
        <f>IFERROR(VLOOKUP(B71,PRODUCTOS!A:B,2,FALSE),"")</f>
        <v/>
      </c>
      <c r="E71" t="e">
        <f t="shared" si="2"/>
        <v>#VALUE!</v>
      </c>
      <c r="F71" t="str">
        <f t="shared" si="3"/>
        <v/>
      </c>
    </row>
    <row r="72" spans="4:6" x14ac:dyDescent="0.25">
      <c r="D72" t="str">
        <f>IFERROR(VLOOKUP(B72,PRODUCTOS!A:B,2,FALSE),"")</f>
        <v/>
      </c>
      <c r="E72" t="e">
        <f t="shared" si="2"/>
        <v>#VALUE!</v>
      </c>
      <c r="F72" t="str">
        <f t="shared" si="3"/>
        <v/>
      </c>
    </row>
    <row r="73" spans="4:6" x14ac:dyDescent="0.25">
      <c r="D73" t="str">
        <f>IFERROR(VLOOKUP(B73,PRODUCTOS!A:B,2,FALSE),"")</f>
        <v/>
      </c>
      <c r="E73" t="e">
        <f t="shared" si="2"/>
        <v>#VALUE!</v>
      </c>
      <c r="F73" t="str">
        <f t="shared" si="3"/>
        <v/>
      </c>
    </row>
    <row r="74" spans="4:6" x14ac:dyDescent="0.25">
      <c r="D74" t="str">
        <f>IFERROR(VLOOKUP(B74,PRODUCTOS!A:B,2,FALSE),"")</f>
        <v/>
      </c>
      <c r="E74" t="e">
        <f t="shared" si="2"/>
        <v>#VALUE!</v>
      </c>
      <c r="F74" t="str">
        <f t="shared" si="3"/>
        <v/>
      </c>
    </row>
    <row r="75" spans="4:6" x14ac:dyDescent="0.25">
      <c r="D75" t="str">
        <f>IFERROR(VLOOKUP(B75,PRODUCTOS!A:B,2,FALSE),"")</f>
        <v/>
      </c>
      <c r="E75" t="e">
        <f t="shared" si="2"/>
        <v>#VALUE!</v>
      </c>
      <c r="F75" t="str">
        <f t="shared" si="3"/>
        <v/>
      </c>
    </row>
    <row r="76" spans="4:6" x14ac:dyDescent="0.25">
      <c r="D76" t="str">
        <f>IFERROR(VLOOKUP(B76,PRODUCTOS!A:B,2,FALSE),"")</f>
        <v/>
      </c>
      <c r="E76" t="e">
        <f t="shared" si="2"/>
        <v>#VALUE!</v>
      </c>
      <c r="F76" t="str">
        <f t="shared" si="3"/>
        <v/>
      </c>
    </row>
    <row r="77" spans="4:6" x14ac:dyDescent="0.25">
      <c r="D77" t="str">
        <f>IFERROR(VLOOKUP(B77,PRODUCTOS!A:B,2,FALSE),"")</f>
        <v/>
      </c>
      <c r="E77" t="e">
        <f t="shared" si="2"/>
        <v>#VALUE!</v>
      </c>
      <c r="F77" t="str">
        <f t="shared" si="3"/>
        <v/>
      </c>
    </row>
    <row r="78" spans="4:6" x14ac:dyDescent="0.25">
      <c r="D78" t="str">
        <f>IFERROR(VLOOKUP(B78,PRODUCTOS!A:B,2,FALSE),"")</f>
        <v/>
      </c>
      <c r="E78" t="e">
        <f t="shared" si="2"/>
        <v>#VALUE!</v>
      </c>
      <c r="F78" t="str">
        <f t="shared" si="3"/>
        <v/>
      </c>
    </row>
    <row r="79" spans="4:6" x14ac:dyDescent="0.25">
      <c r="D79" t="str">
        <f>IFERROR(VLOOKUP(B79,PRODUCTOS!A:B,2,FALSE),"")</f>
        <v/>
      </c>
      <c r="E79" t="e">
        <f t="shared" si="2"/>
        <v>#VALUE!</v>
      </c>
      <c r="F79" t="str">
        <f t="shared" si="3"/>
        <v/>
      </c>
    </row>
    <row r="80" spans="4:6" x14ac:dyDescent="0.25">
      <c r="D80" t="str">
        <f>IFERROR(VLOOKUP(B80,PRODUCTOS!A:B,2,FALSE),"")</f>
        <v/>
      </c>
      <c r="E80" t="e">
        <f t="shared" si="2"/>
        <v>#VALUE!</v>
      </c>
      <c r="F80" t="str">
        <f t="shared" si="3"/>
        <v/>
      </c>
    </row>
    <row r="81" spans="4:6" x14ac:dyDescent="0.25">
      <c r="D81" t="str">
        <f>IFERROR(VLOOKUP(B81,PRODUCTOS!A:B,2,FALSE),"")</f>
        <v/>
      </c>
      <c r="E81" t="e">
        <f t="shared" si="2"/>
        <v>#VALUE!</v>
      </c>
      <c r="F81" t="str">
        <f t="shared" si="3"/>
        <v/>
      </c>
    </row>
    <row r="82" spans="4:6" x14ac:dyDescent="0.25">
      <c r="D82" t="str">
        <f>IFERROR(VLOOKUP(B82,PRODUCTOS!A:B,2,FALSE),"")</f>
        <v/>
      </c>
      <c r="E82" t="e">
        <f t="shared" si="2"/>
        <v>#VALUE!</v>
      </c>
      <c r="F82" t="str">
        <f t="shared" si="3"/>
        <v/>
      </c>
    </row>
    <row r="83" spans="4:6" x14ac:dyDescent="0.25">
      <c r="D83" t="str">
        <f>IFERROR(VLOOKUP(B83,PRODUCTOS!A:B,2,FALSE),"")</f>
        <v/>
      </c>
      <c r="E83" t="e">
        <f t="shared" si="2"/>
        <v>#VALUE!</v>
      </c>
      <c r="F83" t="str">
        <f t="shared" si="3"/>
        <v/>
      </c>
    </row>
    <row r="84" spans="4:6" x14ac:dyDescent="0.25">
      <c r="D84" t="str">
        <f>IFERROR(VLOOKUP(B84,PRODUCTOS!A:B,2,FALSE),"")</f>
        <v/>
      </c>
      <c r="E84" t="e">
        <f t="shared" si="2"/>
        <v>#VALUE!</v>
      </c>
      <c r="F84" t="str">
        <f t="shared" si="3"/>
        <v/>
      </c>
    </row>
    <row r="85" spans="4:6" x14ac:dyDescent="0.25">
      <c r="D85" t="str">
        <f>IFERROR(VLOOKUP(B85,PRODUCTOS!A:B,2,FALSE),"")</f>
        <v/>
      </c>
      <c r="E85" t="e">
        <f t="shared" si="2"/>
        <v>#VALUE!</v>
      </c>
      <c r="F85" t="str">
        <f t="shared" si="3"/>
        <v/>
      </c>
    </row>
    <row r="86" spans="4:6" x14ac:dyDescent="0.25">
      <c r="D86" t="str">
        <f>IFERROR(VLOOKUP(B86,PRODUCTOS!A:B,2,FALSE),"")</f>
        <v/>
      </c>
      <c r="E86" t="e">
        <f t="shared" si="2"/>
        <v>#VALUE!</v>
      </c>
      <c r="F86" t="str">
        <f t="shared" si="3"/>
        <v/>
      </c>
    </row>
    <row r="87" spans="4:6" x14ac:dyDescent="0.25">
      <c r="D87" t="str">
        <f>IFERROR(VLOOKUP(B87,PRODUCTOS!A:B,2,FALSE),"")</f>
        <v/>
      </c>
      <c r="E87" t="e">
        <f t="shared" si="2"/>
        <v>#VALUE!</v>
      </c>
      <c r="F87" t="str">
        <f t="shared" si="3"/>
        <v/>
      </c>
    </row>
    <row r="88" spans="4:6" x14ac:dyDescent="0.25">
      <c r="D88" t="str">
        <f>IFERROR(VLOOKUP(B88,PRODUCTOS!A:B,2,FALSE),"")</f>
        <v/>
      </c>
      <c r="E88" t="e">
        <f t="shared" si="2"/>
        <v>#VALUE!</v>
      </c>
      <c r="F88" t="str">
        <f t="shared" si="3"/>
        <v/>
      </c>
    </row>
    <row r="89" spans="4:6" x14ac:dyDescent="0.25">
      <c r="D89" t="str">
        <f>IFERROR(VLOOKUP(B89,PRODUCTOS!A:B,2,FALSE),"")</f>
        <v/>
      </c>
      <c r="E89" t="e">
        <f t="shared" si="2"/>
        <v>#VALUE!</v>
      </c>
      <c r="F89" t="str">
        <f t="shared" si="3"/>
        <v/>
      </c>
    </row>
    <row r="90" spans="4:6" x14ac:dyDescent="0.25">
      <c r="D90" t="str">
        <f>IFERROR(VLOOKUP(B90,PRODUCTOS!A:B,2,FALSE),"")</f>
        <v/>
      </c>
      <c r="E90" t="e">
        <f t="shared" si="2"/>
        <v>#VALUE!</v>
      </c>
      <c r="F90" t="str">
        <f t="shared" si="3"/>
        <v/>
      </c>
    </row>
    <row r="91" spans="4:6" x14ac:dyDescent="0.25">
      <c r="D91" t="str">
        <f>IFERROR(VLOOKUP(B91,PRODUCTOS!A:B,2,FALSE),"")</f>
        <v/>
      </c>
      <c r="E91" t="e">
        <f t="shared" si="2"/>
        <v>#VALUE!</v>
      </c>
      <c r="F91" t="str">
        <f t="shared" si="3"/>
        <v/>
      </c>
    </row>
    <row r="92" spans="4:6" x14ac:dyDescent="0.25">
      <c r="D92" t="str">
        <f>IFERROR(VLOOKUP(B92,PRODUCTOS!A:B,2,FALSE),"")</f>
        <v/>
      </c>
      <c r="E92" t="e">
        <f t="shared" si="2"/>
        <v>#VALUE!</v>
      </c>
      <c r="F92" t="str">
        <f t="shared" si="3"/>
        <v/>
      </c>
    </row>
    <row r="93" spans="4:6" x14ac:dyDescent="0.25">
      <c r="D93" t="str">
        <f>IFERROR(VLOOKUP(B93,PRODUCTOS!A:B,2,FALSE),"")</f>
        <v/>
      </c>
      <c r="E93" t="e">
        <f t="shared" si="2"/>
        <v>#VALUE!</v>
      </c>
      <c r="F93" t="str">
        <f t="shared" si="3"/>
        <v/>
      </c>
    </row>
    <row r="94" spans="4:6" x14ac:dyDescent="0.25">
      <c r="D94" t="str">
        <f>IFERROR(VLOOKUP(B94,PRODUCTOS!A:B,2,FALSE),"")</f>
        <v/>
      </c>
      <c r="E94" t="e">
        <f t="shared" si="2"/>
        <v>#VALUE!</v>
      </c>
      <c r="F94" t="str">
        <f t="shared" si="3"/>
        <v/>
      </c>
    </row>
    <row r="95" spans="4:6" x14ac:dyDescent="0.25">
      <c r="D95" t="str">
        <f>IFERROR(VLOOKUP(B95,PRODUCTOS!A:B,2,FALSE),"")</f>
        <v/>
      </c>
      <c r="E95" t="e">
        <f t="shared" si="2"/>
        <v>#VALUE!</v>
      </c>
      <c r="F95" t="str">
        <f t="shared" si="3"/>
        <v/>
      </c>
    </row>
    <row r="96" spans="4:6" x14ac:dyDescent="0.25">
      <c r="D96" t="str">
        <f>IFERROR(VLOOKUP(B96,PRODUCTOS!A:B,2,FALSE),"")</f>
        <v/>
      </c>
      <c r="E96" t="e">
        <f t="shared" si="2"/>
        <v>#VALUE!</v>
      </c>
      <c r="F96" t="str">
        <f t="shared" si="3"/>
        <v/>
      </c>
    </row>
    <row r="97" spans="4:6" x14ac:dyDescent="0.25">
      <c r="D97" t="str">
        <f>IFERROR(VLOOKUP(B97,PRODUCTOS!A:B,2,FALSE),"")</f>
        <v/>
      </c>
      <c r="E97" t="e">
        <f t="shared" si="2"/>
        <v>#VALUE!</v>
      </c>
      <c r="F97" t="str">
        <f t="shared" si="3"/>
        <v/>
      </c>
    </row>
    <row r="98" spans="4:6" x14ac:dyDescent="0.25">
      <c r="D98" t="str">
        <f>IFERROR(VLOOKUP(B98,PRODUCTOS!A:B,2,FALSE),"")</f>
        <v/>
      </c>
      <c r="E98" t="e">
        <f t="shared" si="2"/>
        <v>#VALUE!</v>
      </c>
      <c r="F98" t="str">
        <f t="shared" si="3"/>
        <v/>
      </c>
    </row>
    <row r="99" spans="4:6" x14ac:dyDescent="0.25">
      <c r="D99" t="str">
        <f>IFERROR(VLOOKUP(B99,PRODUCTOS!A:B,2,FALSE),"")</f>
        <v/>
      </c>
      <c r="E99" t="e">
        <f t="shared" si="2"/>
        <v>#VALUE!</v>
      </c>
      <c r="F99" t="str">
        <f t="shared" si="3"/>
        <v/>
      </c>
    </row>
    <row r="100" spans="4:6" x14ac:dyDescent="0.25">
      <c r="D100" t="str">
        <f>IFERROR(VLOOKUP(B100,PRODUCTOS!A:B,2,FALSE),"")</f>
        <v/>
      </c>
      <c r="E100" t="e">
        <f t="shared" si="2"/>
        <v>#VALUE!</v>
      </c>
      <c r="F100" t="str">
        <f t="shared" si="3"/>
        <v/>
      </c>
    </row>
    <row r="101" spans="4:6" x14ac:dyDescent="0.25">
      <c r="D101" t="str">
        <f>IFERROR(VLOOKUP(B101,PRODUCTOS!A:B,2,FALSE),"")</f>
        <v/>
      </c>
      <c r="E101" t="e">
        <f t="shared" si="2"/>
        <v>#VALUE!</v>
      </c>
      <c r="F101" t="str">
        <f t="shared" si="3"/>
        <v/>
      </c>
    </row>
    <row r="102" spans="4:6" x14ac:dyDescent="0.25">
      <c r="D102" t="str">
        <f>IFERROR(VLOOKUP(B102,PRODUCTOS!A:B,2,FALSE),"")</f>
        <v/>
      </c>
      <c r="E102" t="e">
        <f t="shared" si="2"/>
        <v>#VALUE!</v>
      </c>
      <c r="F102" t="str">
        <f t="shared" si="3"/>
        <v/>
      </c>
    </row>
    <row r="103" spans="4:6" x14ac:dyDescent="0.25">
      <c r="D103" t="str">
        <f>IFERROR(VLOOKUP(B103,PRODUCTOS!A:B,2,FALSE),"")</f>
        <v/>
      </c>
      <c r="E103" t="e">
        <f t="shared" si="2"/>
        <v>#VALUE!</v>
      </c>
      <c r="F103" t="str">
        <f t="shared" si="3"/>
        <v/>
      </c>
    </row>
    <row r="104" spans="4:6" x14ac:dyDescent="0.25">
      <c r="D104" t="str">
        <f>IFERROR(VLOOKUP(B104,PRODUCTOS!A:B,2,FALSE),"")</f>
        <v/>
      </c>
      <c r="E104" t="e">
        <f t="shared" si="2"/>
        <v>#VALUE!</v>
      </c>
      <c r="F104" t="str">
        <f t="shared" si="3"/>
        <v/>
      </c>
    </row>
    <row r="105" spans="4:6" x14ac:dyDescent="0.25">
      <c r="D105" t="str">
        <f>IFERROR(VLOOKUP(B105,PRODUCTOS!A:B,2,FALSE),"")</f>
        <v/>
      </c>
      <c r="E105" t="e">
        <f t="shared" si="2"/>
        <v>#VALUE!</v>
      </c>
      <c r="F105" t="str">
        <f t="shared" si="3"/>
        <v/>
      </c>
    </row>
    <row r="106" spans="4:6" x14ac:dyDescent="0.25">
      <c r="D106" t="str">
        <f>IFERROR(VLOOKUP(B106,PRODUCTOS!A:B,2,FALSE),"")</f>
        <v/>
      </c>
      <c r="E106" t="e">
        <f t="shared" si="2"/>
        <v>#VALUE!</v>
      </c>
      <c r="F106" t="str">
        <f t="shared" si="3"/>
        <v/>
      </c>
    </row>
    <row r="107" spans="4:6" x14ac:dyDescent="0.25">
      <c r="D107" t="str">
        <f>IFERROR(VLOOKUP(B107,PRODUCTOS!A:B,2,FALSE),"")</f>
        <v/>
      </c>
      <c r="E107" t="e">
        <f t="shared" si="2"/>
        <v>#VALUE!</v>
      </c>
      <c r="F107" t="str">
        <f t="shared" si="3"/>
        <v/>
      </c>
    </row>
    <row r="108" spans="4:6" x14ac:dyDescent="0.25">
      <c r="D108" t="str">
        <f>IFERROR(VLOOKUP(B108,PRODUCTOS!A:B,2,FALSE),"")</f>
        <v/>
      </c>
      <c r="E108" t="e">
        <f t="shared" si="2"/>
        <v>#VALUE!</v>
      </c>
      <c r="F108" t="str">
        <f t="shared" si="3"/>
        <v/>
      </c>
    </row>
    <row r="109" spans="4:6" x14ac:dyDescent="0.25">
      <c r="D109" t="str">
        <f>IFERROR(VLOOKUP(B109,PRODUCTOS!A:B,2,FALSE),"")</f>
        <v/>
      </c>
      <c r="E109" t="e">
        <f t="shared" si="2"/>
        <v>#VALUE!</v>
      </c>
      <c r="F109" t="str">
        <f t="shared" si="3"/>
        <v/>
      </c>
    </row>
    <row r="110" spans="4:6" x14ac:dyDescent="0.25">
      <c r="D110" t="str">
        <f>IFERROR(VLOOKUP(B110,PRODUCTOS!A:B,2,FALSE),"")</f>
        <v/>
      </c>
      <c r="E110" t="e">
        <f t="shared" si="2"/>
        <v>#VALUE!</v>
      </c>
      <c r="F110" t="str">
        <f t="shared" si="3"/>
        <v/>
      </c>
    </row>
    <row r="111" spans="4:6" x14ac:dyDescent="0.25">
      <c r="D111" t="str">
        <f>IFERROR(VLOOKUP(B111,PRODUCTOS!A:B,2,FALSE),"")</f>
        <v/>
      </c>
      <c r="E111" t="e">
        <f t="shared" si="2"/>
        <v>#VALUE!</v>
      </c>
      <c r="F111" t="str">
        <f t="shared" si="3"/>
        <v/>
      </c>
    </row>
    <row r="112" spans="4:6" x14ac:dyDescent="0.25">
      <c r="D112" t="str">
        <f>IFERROR(VLOOKUP(B112,PRODUCTOS!A:B,2,FALSE),"")</f>
        <v/>
      </c>
      <c r="E112" t="e">
        <f t="shared" si="2"/>
        <v>#VALUE!</v>
      </c>
      <c r="F112" t="str">
        <f t="shared" si="3"/>
        <v/>
      </c>
    </row>
    <row r="113" spans="4:6" x14ac:dyDescent="0.25">
      <c r="D113" t="str">
        <f>IFERROR(VLOOKUP(B113,PRODUCTOS!A:B,2,FALSE),"")</f>
        <v/>
      </c>
      <c r="E113" t="e">
        <f t="shared" si="2"/>
        <v>#VALUE!</v>
      </c>
      <c r="F113" t="str">
        <f t="shared" si="3"/>
        <v/>
      </c>
    </row>
    <row r="114" spans="4:6" x14ac:dyDescent="0.25">
      <c r="D114" t="str">
        <f>IFERROR(VLOOKUP(B114,PRODUCTOS!A:B,2,FALSE),"")</f>
        <v/>
      </c>
      <c r="E114" t="e">
        <f t="shared" si="2"/>
        <v>#VALUE!</v>
      </c>
      <c r="F114" t="str">
        <f t="shared" si="3"/>
        <v/>
      </c>
    </row>
    <row r="115" spans="4:6" x14ac:dyDescent="0.25">
      <c r="D115" t="str">
        <f>IFERROR(VLOOKUP(B115,PRODUCTOS!A:B,2,FALSE),"")</f>
        <v/>
      </c>
      <c r="E115" t="e">
        <f t="shared" si="2"/>
        <v>#VALUE!</v>
      </c>
      <c r="F115" t="str">
        <f t="shared" si="3"/>
        <v/>
      </c>
    </row>
    <row r="116" spans="4:6" x14ac:dyDescent="0.25">
      <c r="D116" t="str">
        <f>IFERROR(VLOOKUP(B116,PRODUCTOS!A:B,2,FALSE),"")</f>
        <v/>
      </c>
      <c r="E116" t="e">
        <f t="shared" si="2"/>
        <v>#VALUE!</v>
      </c>
      <c r="F116" t="str">
        <f t="shared" si="3"/>
        <v/>
      </c>
    </row>
    <row r="117" spans="4:6" x14ac:dyDescent="0.25">
      <c r="D117" t="str">
        <f>IFERROR(VLOOKUP(B117,PRODUCTOS!A:B,2,FALSE),"")</f>
        <v/>
      </c>
      <c r="E117" t="e">
        <f t="shared" si="2"/>
        <v>#VALUE!</v>
      </c>
      <c r="F117" t="str">
        <f t="shared" si="3"/>
        <v/>
      </c>
    </row>
    <row r="118" spans="4:6" x14ac:dyDescent="0.25">
      <c r="D118" t="str">
        <f>IFERROR(VLOOKUP(B118,PRODUCTOS!A:B,2,FALSE),"")</f>
        <v/>
      </c>
      <c r="E118" t="e">
        <f t="shared" si="2"/>
        <v>#VALUE!</v>
      </c>
      <c r="F118" t="str">
        <f t="shared" si="3"/>
        <v/>
      </c>
    </row>
    <row r="119" spans="4:6" x14ac:dyDescent="0.25">
      <c r="D119" t="str">
        <f>IFERROR(VLOOKUP(B119,PRODUCTOS!A:B,2,FALSE),"")</f>
        <v/>
      </c>
      <c r="E119" t="e">
        <f t="shared" si="2"/>
        <v>#VALUE!</v>
      </c>
      <c r="F119" t="str">
        <f t="shared" si="3"/>
        <v/>
      </c>
    </row>
    <row r="120" spans="4:6" x14ac:dyDescent="0.25">
      <c r="D120" t="str">
        <f>IFERROR(VLOOKUP(B120,PRODUCTOS!A:B,2,FALSE),"")</f>
        <v/>
      </c>
      <c r="E120" t="e">
        <f t="shared" si="2"/>
        <v>#VALUE!</v>
      </c>
      <c r="F120" t="str">
        <f t="shared" si="3"/>
        <v/>
      </c>
    </row>
    <row r="121" spans="4:6" x14ac:dyDescent="0.25">
      <c r="D121" t="str">
        <f>IFERROR(VLOOKUP(B121,PRODUCTOS!A:B,2,FALSE),"")</f>
        <v/>
      </c>
      <c r="E121" t="e">
        <f t="shared" si="2"/>
        <v>#VALUE!</v>
      </c>
      <c r="F121" t="str">
        <f t="shared" si="3"/>
        <v/>
      </c>
    </row>
    <row r="122" spans="4:6" x14ac:dyDescent="0.25">
      <c r="D122" t="str">
        <f>IFERROR(VLOOKUP(B122,PRODUCTOS!A:B,2,FALSE),"")</f>
        <v/>
      </c>
      <c r="E122" t="e">
        <f t="shared" si="2"/>
        <v>#VALUE!</v>
      </c>
      <c r="F122" t="str">
        <f t="shared" si="3"/>
        <v/>
      </c>
    </row>
    <row r="123" spans="4:6" x14ac:dyDescent="0.25">
      <c r="D123" t="str">
        <f>IFERROR(VLOOKUP(B123,PRODUCTOS!A:B,2,FALSE),"")</f>
        <v/>
      </c>
      <c r="E123" t="e">
        <f t="shared" si="2"/>
        <v>#VALUE!</v>
      </c>
      <c r="F123" t="str">
        <f t="shared" si="3"/>
        <v/>
      </c>
    </row>
    <row r="124" spans="4:6" x14ac:dyDescent="0.25">
      <c r="D124" t="str">
        <f>IFERROR(VLOOKUP(B124,PRODUCTOS!A:B,2,FALSE),"")</f>
        <v/>
      </c>
      <c r="E124" t="e">
        <f t="shared" si="2"/>
        <v>#VALUE!</v>
      </c>
      <c r="F124" t="str">
        <f t="shared" si="3"/>
        <v/>
      </c>
    </row>
    <row r="125" spans="4:6" x14ac:dyDescent="0.25">
      <c r="D125" t="str">
        <f>IFERROR(VLOOKUP(B125,PRODUCTOS!A:B,2,FALSE),"")</f>
        <v/>
      </c>
      <c r="E125" t="e">
        <f t="shared" si="2"/>
        <v>#VALUE!</v>
      </c>
      <c r="F125" t="str">
        <f t="shared" si="3"/>
        <v/>
      </c>
    </row>
    <row r="126" spans="4:6" x14ac:dyDescent="0.25">
      <c r="D126" t="str">
        <f>IFERROR(VLOOKUP(B126,PRODUCTOS!A:B,2,FALSE),"")</f>
        <v/>
      </c>
      <c r="E126" t="e">
        <f t="shared" si="2"/>
        <v>#VALUE!</v>
      </c>
      <c r="F126" t="str">
        <f t="shared" si="3"/>
        <v/>
      </c>
    </row>
    <row r="127" spans="4:6" x14ac:dyDescent="0.25">
      <c r="D127" t="str">
        <f>IFERROR(VLOOKUP(B127,PRODUCTOS!A:B,2,FALSE),"")</f>
        <v/>
      </c>
      <c r="E127" t="e">
        <f t="shared" si="2"/>
        <v>#VALUE!</v>
      </c>
      <c r="F127" t="str">
        <f t="shared" si="3"/>
        <v/>
      </c>
    </row>
    <row r="128" spans="4:6" x14ac:dyDescent="0.25">
      <c r="D128" t="str">
        <f>IFERROR(VLOOKUP(B128,PRODUCTOS!A:B,2,FALSE),"")</f>
        <v/>
      </c>
      <c r="E128" t="e">
        <f t="shared" si="2"/>
        <v>#VALUE!</v>
      </c>
      <c r="F128" t="str">
        <f t="shared" si="3"/>
        <v/>
      </c>
    </row>
    <row r="129" spans="4:6" x14ac:dyDescent="0.25">
      <c r="D129" t="str">
        <f>IFERROR(VLOOKUP(B129,PRODUCTOS!A:B,2,FALSE),"")</f>
        <v/>
      </c>
      <c r="E129" t="e">
        <f t="shared" si="2"/>
        <v>#VALUE!</v>
      </c>
      <c r="F129" t="str">
        <f t="shared" si="3"/>
        <v/>
      </c>
    </row>
    <row r="130" spans="4:6" x14ac:dyDescent="0.25">
      <c r="D130" t="str">
        <f>IFERROR(VLOOKUP(B130,PRODUCTOS!A:B,2,FALSE),"")</f>
        <v/>
      </c>
      <c r="E130" t="e">
        <f t="shared" ref="E130:E193" si="4">C130*D130</f>
        <v>#VALUE!</v>
      </c>
      <c r="F130" t="str">
        <f t="shared" ref="F130:F193" si="5">IF(A130="","",TEXT(A130,"yyyy-mm"))</f>
        <v/>
      </c>
    </row>
    <row r="131" spans="4:6" x14ac:dyDescent="0.25">
      <c r="D131" t="str">
        <f>IFERROR(VLOOKUP(B131,PRODUCTOS!A:B,2,FALSE),"")</f>
        <v/>
      </c>
      <c r="E131" t="e">
        <f t="shared" si="4"/>
        <v>#VALUE!</v>
      </c>
      <c r="F131" t="str">
        <f t="shared" si="5"/>
        <v/>
      </c>
    </row>
    <row r="132" spans="4:6" x14ac:dyDescent="0.25">
      <c r="D132" t="str">
        <f>IFERROR(VLOOKUP(B132,PRODUCTOS!A:B,2,FALSE),"")</f>
        <v/>
      </c>
      <c r="E132" t="e">
        <f t="shared" si="4"/>
        <v>#VALUE!</v>
      </c>
      <c r="F132" t="str">
        <f t="shared" si="5"/>
        <v/>
      </c>
    </row>
    <row r="133" spans="4:6" x14ac:dyDescent="0.25">
      <c r="D133" t="str">
        <f>IFERROR(VLOOKUP(B133,PRODUCTOS!A:B,2,FALSE),"")</f>
        <v/>
      </c>
      <c r="E133" t="e">
        <f t="shared" si="4"/>
        <v>#VALUE!</v>
      </c>
      <c r="F133" t="str">
        <f t="shared" si="5"/>
        <v/>
      </c>
    </row>
    <row r="134" spans="4:6" x14ac:dyDescent="0.25">
      <c r="D134" t="str">
        <f>IFERROR(VLOOKUP(B134,PRODUCTOS!A:B,2,FALSE),"")</f>
        <v/>
      </c>
      <c r="E134" t="e">
        <f t="shared" si="4"/>
        <v>#VALUE!</v>
      </c>
      <c r="F134" t="str">
        <f t="shared" si="5"/>
        <v/>
      </c>
    </row>
    <row r="135" spans="4:6" x14ac:dyDescent="0.25">
      <c r="D135" t="str">
        <f>IFERROR(VLOOKUP(B135,PRODUCTOS!A:B,2,FALSE),"")</f>
        <v/>
      </c>
      <c r="E135" t="e">
        <f t="shared" si="4"/>
        <v>#VALUE!</v>
      </c>
      <c r="F135" t="str">
        <f t="shared" si="5"/>
        <v/>
      </c>
    </row>
    <row r="136" spans="4:6" x14ac:dyDescent="0.25">
      <c r="D136" t="str">
        <f>IFERROR(VLOOKUP(B136,PRODUCTOS!A:B,2,FALSE),"")</f>
        <v/>
      </c>
      <c r="E136" t="e">
        <f t="shared" si="4"/>
        <v>#VALUE!</v>
      </c>
      <c r="F136" t="str">
        <f t="shared" si="5"/>
        <v/>
      </c>
    </row>
    <row r="137" spans="4:6" x14ac:dyDescent="0.25">
      <c r="D137" t="str">
        <f>IFERROR(VLOOKUP(B137,PRODUCTOS!A:B,2,FALSE),"")</f>
        <v/>
      </c>
      <c r="E137" t="e">
        <f t="shared" si="4"/>
        <v>#VALUE!</v>
      </c>
      <c r="F137" t="str">
        <f t="shared" si="5"/>
        <v/>
      </c>
    </row>
    <row r="138" spans="4:6" x14ac:dyDescent="0.25">
      <c r="D138" t="str">
        <f>IFERROR(VLOOKUP(B138,PRODUCTOS!A:B,2,FALSE),"")</f>
        <v/>
      </c>
      <c r="E138" t="e">
        <f t="shared" si="4"/>
        <v>#VALUE!</v>
      </c>
      <c r="F138" t="str">
        <f t="shared" si="5"/>
        <v/>
      </c>
    </row>
    <row r="139" spans="4:6" x14ac:dyDescent="0.25">
      <c r="D139" t="str">
        <f>IFERROR(VLOOKUP(B139,PRODUCTOS!A:B,2,FALSE),"")</f>
        <v/>
      </c>
      <c r="E139" t="e">
        <f t="shared" si="4"/>
        <v>#VALUE!</v>
      </c>
      <c r="F139" t="str">
        <f t="shared" si="5"/>
        <v/>
      </c>
    </row>
    <row r="140" spans="4:6" x14ac:dyDescent="0.25">
      <c r="D140" t="str">
        <f>IFERROR(VLOOKUP(B140,PRODUCTOS!A:B,2,FALSE),"")</f>
        <v/>
      </c>
      <c r="E140" t="e">
        <f t="shared" si="4"/>
        <v>#VALUE!</v>
      </c>
      <c r="F140" t="str">
        <f t="shared" si="5"/>
        <v/>
      </c>
    </row>
    <row r="141" spans="4:6" x14ac:dyDescent="0.25">
      <c r="D141" t="str">
        <f>IFERROR(VLOOKUP(B141,PRODUCTOS!A:B,2,FALSE),"")</f>
        <v/>
      </c>
      <c r="E141" t="e">
        <f t="shared" si="4"/>
        <v>#VALUE!</v>
      </c>
      <c r="F141" t="str">
        <f t="shared" si="5"/>
        <v/>
      </c>
    </row>
    <row r="142" spans="4:6" x14ac:dyDescent="0.25">
      <c r="D142" t="str">
        <f>IFERROR(VLOOKUP(B142,PRODUCTOS!A:B,2,FALSE),"")</f>
        <v/>
      </c>
      <c r="E142" t="e">
        <f t="shared" si="4"/>
        <v>#VALUE!</v>
      </c>
      <c r="F142" t="str">
        <f t="shared" si="5"/>
        <v/>
      </c>
    </row>
    <row r="143" spans="4:6" x14ac:dyDescent="0.25">
      <c r="D143" t="str">
        <f>IFERROR(VLOOKUP(B143,PRODUCTOS!A:B,2,FALSE),"")</f>
        <v/>
      </c>
      <c r="E143" t="e">
        <f t="shared" si="4"/>
        <v>#VALUE!</v>
      </c>
      <c r="F143" t="str">
        <f t="shared" si="5"/>
        <v/>
      </c>
    </row>
    <row r="144" spans="4:6" x14ac:dyDescent="0.25">
      <c r="D144" t="str">
        <f>IFERROR(VLOOKUP(B144,PRODUCTOS!A:B,2,FALSE),"")</f>
        <v/>
      </c>
      <c r="E144" t="e">
        <f t="shared" si="4"/>
        <v>#VALUE!</v>
      </c>
      <c r="F144" t="str">
        <f t="shared" si="5"/>
        <v/>
      </c>
    </row>
    <row r="145" spans="4:6" x14ac:dyDescent="0.25">
      <c r="D145" t="str">
        <f>IFERROR(VLOOKUP(B145,PRODUCTOS!A:B,2,FALSE),"")</f>
        <v/>
      </c>
      <c r="E145" t="e">
        <f t="shared" si="4"/>
        <v>#VALUE!</v>
      </c>
      <c r="F145" t="str">
        <f t="shared" si="5"/>
        <v/>
      </c>
    </row>
    <row r="146" spans="4:6" x14ac:dyDescent="0.25">
      <c r="D146" t="str">
        <f>IFERROR(VLOOKUP(B146,PRODUCTOS!A:B,2,FALSE),"")</f>
        <v/>
      </c>
      <c r="E146" t="e">
        <f t="shared" si="4"/>
        <v>#VALUE!</v>
      </c>
      <c r="F146" t="str">
        <f t="shared" si="5"/>
        <v/>
      </c>
    </row>
    <row r="147" spans="4:6" x14ac:dyDescent="0.25">
      <c r="D147" t="str">
        <f>IFERROR(VLOOKUP(B147,PRODUCTOS!A:B,2,FALSE),"")</f>
        <v/>
      </c>
      <c r="E147" t="e">
        <f t="shared" si="4"/>
        <v>#VALUE!</v>
      </c>
      <c r="F147" t="str">
        <f t="shared" si="5"/>
        <v/>
      </c>
    </row>
    <row r="148" spans="4:6" x14ac:dyDescent="0.25">
      <c r="D148" t="str">
        <f>IFERROR(VLOOKUP(B148,PRODUCTOS!A:B,2,FALSE),"")</f>
        <v/>
      </c>
      <c r="E148" t="e">
        <f t="shared" si="4"/>
        <v>#VALUE!</v>
      </c>
      <c r="F148" t="str">
        <f t="shared" si="5"/>
        <v/>
      </c>
    </row>
    <row r="149" spans="4:6" x14ac:dyDescent="0.25">
      <c r="D149" t="str">
        <f>IFERROR(VLOOKUP(B149,PRODUCTOS!A:B,2,FALSE),"")</f>
        <v/>
      </c>
      <c r="E149" t="e">
        <f t="shared" si="4"/>
        <v>#VALUE!</v>
      </c>
      <c r="F149" t="str">
        <f t="shared" si="5"/>
        <v/>
      </c>
    </row>
    <row r="150" spans="4:6" x14ac:dyDescent="0.25">
      <c r="D150" t="str">
        <f>IFERROR(VLOOKUP(B150,PRODUCTOS!A:B,2,FALSE),"")</f>
        <v/>
      </c>
      <c r="E150" t="e">
        <f t="shared" si="4"/>
        <v>#VALUE!</v>
      </c>
      <c r="F150" t="str">
        <f t="shared" si="5"/>
        <v/>
      </c>
    </row>
    <row r="151" spans="4:6" x14ac:dyDescent="0.25">
      <c r="D151" t="str">
        <f>IFERROR(VLOOKUP(B151,PRODUCTOS!A:B,2,FALSE),"")</f>
        <v/>
      </c>
      <c r="E151" t="e">
        <f t="shared" si="4"/>
        <v>#VALUE!</v>
      </c>
      <c r="F151" t="str">
        <f t="shared" si="5"/>
        <v/>
      </c>
    </row>
    <row r="152" spans="4:6" x14ac:dyDescent="0.25">
      <c r="D152" t="str">
        <f>IFERROR(VLOOKUP(B152,PRODUCTOS!A:B,2,FALSE),"")</f>
        <v/>
      </c>
      <c r="E152" t="e">
        <f t="shared" si="4"/>
        <v>#VALUE!</v>
      </c>
      <c r="F152" t="str">
        <f t="shared" si="5"/>
        <v/>
      </c>
    </row>
    <row r="153" spans="4:6" x14ac:dyDescent="0.25">
      <c r="D153" t="str">
        <f>IFERROR(VLOOKUP(B153,PRODUCTOS!A:B,2,FALSE),"")</f>
        <v/>
      </c>
      <c r="E153" t="e">
        <f t="shared" si="4"/>
        <v>#VALUE!</v>
      </c>
      <c r="F153" t="str">
        <f t="shared" si="5"/>
        <v/>
      </c>
    </row>
    <row r="154" spans="4:6" x14ac:dyDescent="0.25">
      <c r="D154" t="str">
        <f>IFERROR(VLOOKUP(B154,PRODUCTOS!A:B,2,FALSE),"")</f>
        <v/>
      </c>
      <c r="E154" t="e">
        <f t="shared" si="4"/>
        <v>#VALUE!</v>
      </c>
      <c r="F154" t="str">
        <f t="shared" si="5"/>
        <v/>
      </c>
    </row>
    <row r="155" spans="4:6" x14ac:dyDescent="0.25">
      <c r="D155" t="str">
        <f>IFERROR(VLOOKUP(B155,PRODUCTOS!A:B,2,FALSE),"")</f>
        <v/>
      </c>
      <c r="E155" t="e">
        <f t="shared" si="4"/>
        <v>#VALUE!</v>
      </c>
      <c r="F155" t="str">
        <f t="shared" si="5"/>
        <v/>
      </c>
    </row>
    <row r="156" spans="4:6" x14ac:dyDescent="0.25">
      <c r="D156" t="str">
        <f>IFERROR(VLOOKUP(B156,PRODUCTOS!A:B,2,FALSE),"")</f>
        <v/>
      </c>
      <c r="E156" t="e">
        <f t="shared" si="4"/>
        <v>#VALUE!</v>
      </c>
      <c r="F156" t="str">
        <f t="shared" si="5"/>
        <v/>
      </c>
    </row>
    <row r="157" spans="4:6" x14ac:dyDescent="0.25">
      <c r="D157" t="str">
        <f>IFERROR(VLOOKUP(B157,PRODUCTOS!A:B,2,FALSE),"")</f>
        <v/>
      </c>
      <c r="E157" t="e">
        <f t="shared" si="4"/>
        <v>#VALUE!</v>
      </c>
      <c r="F157" t="str">
        <f t="shared" si="5"/>
        <v/>
      </c>
    </row>
    <row r="158" spans="4:6" x14ac:dyDescent="0.25">
      <c r="D158" t="str">
        <f>IFERROR(VLOOKUP(B158,PRODUCTOS!A:B,2,FALSE),"")</f>
        <v/>
      </c>
      <c r="E158" t="e">
        <f t="shared" si="4"/>
        <v>#VALUE!</v>
      </c>
      <c r="F158" t="str">
        <f t="shared" si="5"/>
        <v/>
      </c>
    </row>
    <row r="159" spans="4:6" x14ac:dyDescent="0.25">
      <c r="D159" t="str">
        <f>IFERROR(VLOOKUP(B159,PRODUCTOS!A:B,2,FALSE),"")</f>
        <v/>
      </c>
      <c r="E159" t="e">
        <f t="shared" si="4"/>
        <v>#VALUE!</v>
      </c>
      <c r="F159" t="str">
        <f t="shared" si="5"/>
        <v/>
      </c>
    </row>
    <row r="160" spans="4:6" x14ac:dyDescent="0.25">
      <c r="D160" t="str">
        <f>IFERROR(VLOOKUP(B160,PRODUCTOS!A:B,2,FALSE),"")</f>
        <v/>
      </c>
      <c r="E160" t="e">
        <f t="shared" si="4"/>
        <v>#VALUE!</v>
      </c>
      <c r="F160" t="str">
        <f t="shared" si="5"/>
        <v/>
      </c>
    </row>
    <row r="161" spans="4:6" x14ac:dyDescent="0.25">
      <c r="D161" t="str">
        <f>IFERROR(VLOOKUP(B161,PRODUCTOS!A:B,2,FALSE),"")</f>
        <v/>
      </c>
      <c r="E161" t="e">
        <f t="shared" si="4"/>
        <v>#VALUE!</v>
      </c>
      <c r="F161" t="str">
        <f t="shared" si="5"/>
        <v/>
      </c>
    </row>
    <row r="162" spans="4:6" x14ac:dyDescent="0.25">
      <c r="D162" t="str">
        <f>IFERROR(VLOOKUP(B162,PRODUCTOS!A:B,2,FALSE),"")</f>
        <v/>
      </c>
      <c r="E162" t="e">
        <f t="shared" si="4"/>
        <v>#VALUE!</v>
      </c>
      <c r="F162" t="str">
        <f t="shared" si="5"/>
        <v/>
      </c>
    </row>
    <row r="163" spans="4:6" x14ac:dyDescent="0.25">
      <c r="D163" t="str">
        <f>IFERROR(VLOOKUP(B163,PRODUCTOS!A:B,2,FALSE),"")</f>
        <v/>
      </c>
      <c r="E163" t="e">
        <f t="shared" si="4"/>
        <v>#VALUE!</v>
      </c>
      <c r="F163" t="str">
        <f t="shared" si="5"/>
        <v/>
      </c>
    </row>
    <row r="164" spans="4:6" x14ac:dyDescent="0.25">
      <c r="D164" t="str">
        <f>IFERROR(VLOOKUP(B164,PRODUCTOS!A:B,2,FALSE),"")</f>
        <v/>
      </c>
      <c r="E164" t="e">
        <f t="shared" si="4"/>
        <v>#VALUE!</v>
      </c>
      <c r="F164" t="str">
        <f t="shared" si="5"/>
        <v/>
      </c>
    </row>
    <row r="165" spans="4:6" x14ac:dyDescent="0.25">
      <c r="D165" t="str">
        <f>IFERROR(VLOOKUP(B165,PRODUCTOS!A:B,2,FALSE),"")</f>
        <v/>
      </c>
      <c r="E165" t="e">
        <f t="shared" si="4"/>
        <v>#VALUE!</v>
      </c>
      <c r="F165" t="str">
        <f t="shared" si="5"/>
        <v/>
      </c>
    </row>
    <row r="166" spans="4:6" x14ac:dyDescent="0.25">
      <c r="D166" t="str">
        <f>IFERROR(VLOOKUP(B166,PRODUCTOS!A:B,2,FALSE),"")</f>
        <v/>
      </c>
      <c r="E166" t="e">
        <f t="shared" si="4"/>
        <v>#VALUE!</v>
      </c>
      <c r="F166" t="str">
        <f t="shared" si="5"/>
        <v/>
      </c>
    </row>
    <row r="167" spans="4:6" x14ac:dyDescent="0.25">
      <c r="D167" t="str">
        <f>IFERROR(VLOOKUP(B167,PRODUCTOS!A:B,2,FALSE),"")</f>
        <v/>
      </c>
      <c r="E167" t="e">
        <f t="shared" si="4"/>
        <v>#VALUE!</v>
      </c>
      <c r="F167" t="str">
        <f t="shared" si="5"/>
        <v/>
      </c>
    </row>
    <row r="168" spans="4:6" x14ac:dyDescent="0.25">
      <c r="D168" t="str">
        <f>IFERROR(VLOOKUP(B168,PRODUCTOS!A:B,2,FALSE),"")</f>
        <v/>
      </c>
      <c r="E168" t="e">
        <f t="shared" si="4"/>
        <v>#VALUE!</v>
      </c>
      <c r="F168" t="str">
        <f t="shared" si="5"/>
        <v/>
      </c>
    </row>
    <row r="169" spans="4:6" x14ac:dyDescent="0.25">
      <c r="D169" t="str">
        <f>IFERROR(VLOOKUP(B169,PRODUCTOS!A:B,2,FALSE),"")</f>
        <v/>
      </c>
      <c r="E169" t="e">
        <f t="shared" si="4"/>
        <v>#VALUE!</v>
      </c>
      <c r="F169" t="str">
        <f t="shared" si="5"/>
        <v/>
      </c>
    </row>
    <row r="170" spans="4:6" x14ac:dyDescent="0.25">
      <c r="D170" t="str">
        <f>IFERROR(VLOOKUP(B170,PRODUCTOS!A:B,2,FALSE),"")</f>
        <v/>
      </c>
      <c r="E170" t="e">
        <f t="shared" si="4"/>
        <v>#VALUE!</v>
      </c>
      <c r="F170" t="str">
        <f t="shared" si="5"/>
        <v/>
      </c>
    </row>
    <row r="171" spans="4:6" x14ac:dyDescent="0.25">
      <c r="D171" t="str">
        <f>IFERROR(VLOOKUP(B171,PRODUCTOS!A:B,2,FALSE),"")</f>
        <v/>
      </c>
      <c r="E171" t="e">
        <f t="shared" si="4"/>
        <v>#VALUE!</v>
      </c>
      <c r="F171" t="str">
        <f t="shared" si="5"/>
        <v/>
      </c>
    </row>
    <row r="172" spans="4:6" x14ac:dyDescent="0.25">
      <c r="D172" t="str">
        <f>IFERROR(VLOOKUP(B172,PRODUCTOS!A:B,2,FALSE),"")</f>
        <v/>
      </c>
      <c r="E172" t="e">
        <f t="shared" si="4"/>
        <v>#VALUE!</v>
      </c>
      <c r="F172" t="str">
        <f t="shared" si="5"/>
        <v/>
      </c>
    </row>
    <row r="173" spans="4:6" x14ac:dyDescent="0.25">
      <c r="D173" t="str">
        <f>IFERROR(VLOOKUP(B173,PRODUCTOS!A:B,2,FALSE),"")</f>
        <v/>
      </c>
      <c r="E173" t="e">
        <f t="shared" si="4"/>
        <v>#VALUE!</v>
      </c>
      <c r="F173" t="str">
        <f t="shared" si="5"/>
        <v/>
      </c>
    </row>
    <row r="174" spans="4:6" x14ac:dyDescent="0.25">
      <c r="D174" t="str">
        <f>IFERROR(VLOOKUP(B174,PRODUCTOS!A:B,2,FALSE),"")</f>
        <v/>
      </c>
      <c r="E174" t="e">
        <f t="shared" si="4"/>
        <v>#VALUE!</v>
      </c>
      <c r="F174" t="str">
        <f t="shared" si="5"/>
        <v/>
      </c>
    </row>
    <row r="175" spans="4:6" x14ac:dyDescent="0.25">
      <c r="D175" t="str">
        <f>IFERROR(VLOOKUP(B175,PRODUCTOS!A:B,2,FALSE),"")</f>
        <v/>
      </c>
      <c r="E175" t="e">
        <f t="shared" si="4"/>
        <v>#VALUE!</v>
      </c>
      <c r="F175" t="str">
        <f t="shared" si="5"/>
        <v/>
      </c>
    </row>
    <row r="176" spans="4:6" x14ac:dyDescent="0.25">
      <c r="D176" t="str">
        <f>IFERROR(VLOOKUP(B176,PRODUCTOS!A:B,2,FALSE),"")</f>
        <v/>
      </c>
      <c r="E176" t="e">
        <f t="shared" si="4"/>
        <v>#VALUE!</v>
      </c>
      <c r="F176" t="str">
        <f t="shared" si="5"/>
        <v/>
      </c>
    </row>
    <row r="177" spans="4:6" x14ac:dyDescent="0.25">
      <c r="D177" t="str">
        <f>IFERROR(VLOOKUP(B177,PRODUCTOS!A:B,2,FALSE),"")</f>
        <v/>
      </c>
      <c r="E177" t="e">
        <f t="shared" si="4"/>
        <v>#VALUE!</v>
      </c>
      <c r="F177" t="str">
        <f t="shared" si="5"/>
        <v/>
      </c>
    </row>
    <row r="178" spans="4:6" x14ac:dyDescent="0.25">
      <c r="D178" t="str">
        <f>IFERROR(VLOOKUP(B178,PRODUCTOS!A:B,2,FALSE),"")</f>
        <v/>
      </c>
      <c r="E178" t="e">
        <f t="shared" si="4"/>
        <v>#VALUE!</v>
      </c>
      <c r="F178" t="str">
        <f t="shared" si="5"/>
        <v/>
      </c>
    </row>
    <row r="179" spans="4:6" x14ac:dyDescent="0.25">
      <c r="D179" t="str">
        <f>IFERROR(VLOOKUP(B179,PRODUCTOS!A:B,2,FALSE),"")</f>
        <v/>
      </c>
      <c r="E179" t="e">
        <f t="shared" si="4"/>
        <v>#VALUE!</v>
      </c>
      <c r="F179" t="str">
        <f t="shared" si="5"/>
        <v/>
      </c>
    </row>
    <row r="180" spans="4:6" x14ac:dyDescent="0.25">
      <c r="D180" t="str">
        <f>IFERROR(VLOOKUP(B180,PRODUCTOS!A:B,2,FALSE),"")</f>
        <v/>
      </c>
      <c r="E180" t="e">
        <f t="shared" si="4"/>
        <v>#VALUE!</v>
      </c>
      <c r="F180" t="str">
        <f t="shared" si="5"/>
        <v/>
      </c>
    </row>
    <row r="181" spans="4:6" x14ac:dyDescent="0.25">
      <c r="D181" t="str">
        <f>IFERROR(VLOOKUP(B181,PRODUCTOS!A:B,2,FALSE),"")</f>
        <v/>
      </c>
      <c r="E181" t="e">
        <f t="shared" si="4"/>
        <v>#VALUE!</v>
      </c>
      <c r="F181" t="str">
        <f t="shared" si="5"/>
        <v/>
      </c>
    </row>
    <row r="182" spans="4:6" x14ac:dyDescent="0.25">
      <c r="D182" t="str">
        <f>IFERROR(VLOOKUP(B182,PRODUCTOS!A:B,2,FALSE),"")</f>
        <v/>
      </c>
      <c r="E182" t="e">
        <f t="shared" si="4"/>
        <v>#VALUE!</v>
      </c>
      <c r="F182" t="str">
        <f t="shared" si="5"/>
        <v/>
      </c>
    </row>
    <row r="183" spans="4:6" x14ac:dyDescent="0.25">
      <c r="D183" t="str">
        <f>IFERROR(VLOOKUP(B183,PRODUCTOS!A:B,2,FALSE),"")</f>
        <v/>
      </c>
      <c r="E183" t="e">
        <f t="shared" si="4"/>
        <v>#VALUE!</v>
      </c>
      <c r="F183" t="str">
        <f t="shared" si="5"/>
        <v/>
      </c>
    </row>
    <row r="184" spans="4:6" x14ac:dyDescent="0.25">
      <c r="D184" t="str">
        <f>IFERROR(VLOOKUP(B184,PRODUCTOS!A:B,2,FALSE),"")</f>
        <v/>
      </c>
      <c r="E184" t="e">
        <f t="shared" si="4"/>
        <v>#VALUE!</v>
      </c>
      <c r="F184" t="str">
        <f t="shared" si="5"/>
        <v/>
      </c>
    </row>
    <row r="185" spans="4:6" x14ac:dyDescent="0.25">
      <c r="D185" t="str">
        <f>IFERROR(VLOOKUP(B185,PRODUCTOS!A:B,2,FALSE),"")</f>
        <v/>
      </c>
      <c r="E185" t="e">
        <f t="shared" si="4"/>
        <v>#VALUE!</v>
      </c>
      <c r="F185" t="str">
        <f t="shared" si="5"/>
        <v/>
      </c>
    </row>
    <row r="186" spans="4:6" x14ac:dyDescent="0.25">
      <c r="D186" t="str">
        <f>IFERROR(VLOOKUP(B186,PRODUCTOS!A:B,2,FALSE),"")</f>
        <v/>
      </c>
      <c r="E186" t="e">
        <f t="shared" si="4"/>
        <v>#VALUE!</v>
      </c>
      <c r="F186" t="str">
        <f t="shared" si="5"/>
        <v/>
      </c>
    </row>
    <row r="187" spans="4:6" x14ac:dyDescent="0.25">
      <c r="D187" t="str">
        <f>IFERROR(VLOOKUP(B187,PRODUCTOS!A:B,2,FALSE),"")</f>
        <v/>
      </c>
      <c r="E187" t="e">
        <f t="shared" si="4"/>
        <v>#VALUE!</v>
      </c>
      <c r="F187" t="str">
        <f t="shared" si="5"/>
        <v/>
      </c>
    </row>
    <row r="188" spans="4:6" x14ac:dyDescent="0.25">
      <c r="D188" t="str">
        <f>IFERROR(VLOOKUP(B188,PRODUCTOS!A:B,2,FALSE),"")</f>
        <v/>
      </c>
      <c r="E188" t="e">
        <f t="shared" si="4"/>
        <v>#VALUE!</v>
      </c>
      <c r="F188" t="str">
        <f t="shared" si="5"/>
        <v/>
      </c>
    </row>
    <row r="189" spans="4:6" x14ac:dyDescent="0.25">
      <c r="D189" t="str">
        <f>IFERROR(VLOOKUP(B189,PRODUCTOS!A:B,2,FALSE),"")</f>
        <v/>
      </c>
      <c r="E189" t="e">
        <f t="shared" si="4"/>
        <v>#VALUE!</v>
      </c>
      <c r="F189" t="str">
        <f t="shared" si="5"/>
        <v/>
      </c>
    </row>
    <row r="190" spans="4:6" x14ac:dyDescent="0.25">
      <c r="D190" t="str">
        <f>IFERROR(VLOOKUP(B190,PRODUCTOS!A:B,2,FALSE),"")</f>
        <v/>
      </c>
      <c r="E190" t="e">
        <f t="shared" si="4"/>
        <v>#VALUE!</v>
      </c>
      <c r="F190" t="str">
        <f t="shared" si="5"/>
        <v/>
      </c>
    </row>
    <row r="191" spans="4:6" x14ac:dyDescent="0.25">
      <c r="D191" t="str">
        <f>IFERROR(VLOOKUP(B191,PRODUCTOS!A:B,2,FALSE),"")</f>
        <v/>
      </c>
      <c r="E191" t="e">
        <f t="shared" si="4"/>
        <v>#VALUE!</v>
      </c>
      <c r="F191" t="str">
        <f t="shared" si="5"/>
        <v/>
      </c>
    </row>
    <row r="192" spans="4:6" x14ac:dyDescent="0.25">
      <c r="D192" t="str">
        <f>IFERROR(VLOOKUP(B192,PRODUCTOS!A:B,2,FALSE),"")</f>
        <v/>
      </c>
      <c r="E192" t="e">
        <f t="shared" si="4"/>
        <v>#VALUE!</v>
      </c>
      <c r="F192" t="str">
        <f t="shared" si="5"/>
        <v/>
      </c>
    </row>
    <row r="193" spans="4:6" x14ac:dyDescent="0.25">
      <c r="D193" t="str">
        <f>IFERROR(VLOOKUP(B193,PRODUCTOS!A:B,2,FALSE),"")</f>
        <v/>
      </c>
      <c r="E193" t="e">
        <f t="shared" si="4"/>
        <v>#VALUE!</v>
      </c>
      <c r="F193" t="str">
        <f t="shared" si="5"/>
        <v/>
      </c>
    </row>
    <row r="194" spans="4:6" x14ac:dyDescent="0.25">
      <c r="D194" t="str">
        <f>IFERROR(VLOOKUP(B194,PRODUCTOS!A:B,2,FALSE),"")</f>
        <v/>
      </c>
      <c r="E194" t="e">
        <f t="shared" ref="E194:E257" si="6">C194*D194</f>
        <v>#VALUE!</v>
      </c>
      <c r="F194" t="str">
        <f t="shared" ref="F194:F257" si="7">IF(A194="","",TEXT(A194,"yyyy-mm"))</f>
        <v/>
      </c>
    </row>
    <row r="195" spans="4:6" x14ac:dyDescent="0.25">
      <c r="D195" t="str">
        <f>IFERROR(VLOOKUP(B195,PRODUCTOS!A:B,2,FALSE),"")</f>
        <v/>
      </c>
      <c r="E195" t="e">
        <f t="shared" si="6"/>
        <v>#VALUE!</v>
      </c>
      <c r="F195" t="str">
        <f t="shared" si="7"/>
        <v/>
      </c>
    </row>
    <row r="196" spans="4:6" x14ac:dyDescent="0.25">
      <c r="D196" t="str">
        <f>IFERROR(VLOOKUP(B196,PRODUCTOS!A:B,2,FALSE),"")</f>
        <v/>
      </c>
      <c r="E196" t="e">
        <f t="shared" si="6"/>
        <v>#VALUE!</v>
      </c>
      <c r="F196" t="str">
        <f t="shared" si="7"/>
        <v/>
      </c>
    </row>
    <row r="197" spans="4:6" x14ac:dyDescent="0.25">
      <c r="D197" t="str">
        <f>IFERROR(VLOOKUP(B197,PRODUCTOS!A:B,2,FALSE),"")</f>
        <v/>
      </c>
      <c r="E197" t="e">
        <f t="shared" si="6"/>
        <v>#VALUE!</v>
      </c>
      <c r="F197" t="str">
        <f t="shared" si="7"/>
        <v/>
      </c>
    </row>
    <row r="198" spans="4:6" x14ac:dyDescent="0.25">
      <c r="D198" t="str">
        <f>IFERROR(VLOOKUP(B198,PRODUCTOS!A:B,2,FALSE),"")</f>
        <v/>
      </c>
      <c r="E198" t="e">
        <f t="shared" si="6"/>
        <v>#VALUE!</v>
      </c>
      <c r="F198" t="str">
        <f t="shared" si="7"/>
        <v/>
      </c>
    </row>
    <row r="199" spans="4:6" x14ac:dyDescent="0.25">
      <c r="D199" t="str">
        <f>IFERROR(VLOOKUP(B199,PRODUCTOS!A:B,2,FALSE),"")</f>
        <v/>
      </c>
      <c r="E199" t="e">
        <f t="shared" si="6"/>
        <v>#VALUE!</v>
      </c>
      <c r="F199" t="str">
        <f t="shared" si="7"/>
        <v/>
      </c>
    </row>
    <row r="200" spans="4:6" x14ac:dyDescent="0.25">
      <c r="D200" t="str">
        <f>IFERROR(VLOOKUP(B200,PRODUCTOS!A:B,2,FALSE),"")</f>
        <v/>
      </c>
      <c r="E200" t="e">
        <f t="shared" si="6"/>
        <v>#VALUE!</v>
      </c>
      <c r="F200" t="str">
        <f t="shared" si="7"/>
        <v/>
      </c>
    </row>
    <row r="201" spans="4:6" x14ac:dyDescent="0.25">
      <c r="D201" t="str">
        <f>IFERROR(VLOOKUP(B201,PRODUCTOS!A:B,2,FALSE),"")</f>
        <v/>
      </c>
      <c r="E201" t="e">
        <f t="shared" si="6"/>
        <v>#VALUE!</v>
      </c>
      <c r="F201" t="str">
        <f t="shared" si="7"/>
        <v/>
      </c>
    </row>
    <row r="202" spans="4:6" x14ac:dyDescent="0.25">
      <c r="D202" t="str">
        <f>IFERROR(VLOOKUP(B202,PRODUCTOS!A:B,2,FALSE),"")</f>
        <v/>
      </c>
      <c r="E202" t="e">
        <f t="shared" si="6"/>
        <v>#VALUE!</v>
      </c>
      <c r="F202" t="str">
        <f t="shared" si="7"/>
        <v/>
      </c>
    </row>
    <row r="203" spans="4:6" x14ac:dyDescent="0.25">
      <c r="D203" t="str">
        <f>IFERROR(VLOOKUP(B203,PRODUCTOS!A:B,2,FALSE),"")</f>
        <v/>
      </c>
      <c r="E203" t="e">
        <f t="shared" si="6"/>
        <v>#VALUE!</v>
      </c>
      <c r="F203" t="str">
        <f t="shared" si="7"/>
        <v/>
      </c>
    </row>
    <row r="204" spans="4:6" x14ac:dyDescent="0.25">
      <c r="D204" t="str">
        <f>IFERROR(VLOOKUP(B204,PRODUCTOS!A:B,2,FALSE),"")</f>
        <v/>
      </c>
      <c r="E204" t="e">
        <f t="shared" si="6"/>
        <v>#VALUE!</v>
      </c>
      <c r="F204" t="str">
        <f t="shared" si="7"/>
        <v/>
      </c>
    </row>
    <row r="205" spans="4:6" x14ac:dyDescent="0.25">
      <c r="D205" t="str">
        <f>IFERROR(VLOOKUP(B205,PRODUCTOS!A:B,2,FALSE),"")</f>
        <v/>
      </c>
      <c r="E205" t="e">
        <f t="shared" si="6"/>
        <v>#VALUE!</v>
      </c>
      <c r="F205" t="str">
        <f t="shared" si="7"/>
        <v/>
      </c>
    </row>
    <row r="206" spans="4:6" x14ac:dyDescent="0.25">
      <c r="D206" t="str">
        <f>IFERROR(VLOOKUP(B206,PRODUCTOS!A:B,2,FALSE),"")</f>
        <v/>
      </c>
      <c r="E206" t="e">
        <f t="shared" si="6"/>
        <v>#VALUE!</v>
      </c>
      <c r="F206" t="str">
        <f t="shared" si="7"/>
        <v/>
      </c>
    </row>
    <row r="207" spans="4:6" x14ac:dyDescent="0.25">
      <c r="D207" t="str">
        <f>IFERROR(VLOOKUP(B207,PRODUCTOS!A:B,2,FALSE),"")</f>
        <v/>
      </c>
      <c r="E207" t="e">
        <f t="shared" si="6"/>
        <v>#VALUE!</v>
      </c>
      <c r="F207" t="str">
        <f t="shared" si="7"/>
        <v/>
      </c>
    </row>
    <row r="208" spans="4:6" x14ac:dyDescent="0.25">
      <c r="D208" t="str">
        <f>IFERROR(VLOOKUP(B208,PRODUCTOS!A:B,2,FALSE),"")</f>
        <v/>
      </c>
      <c r="E208" t="e">
        <f t="shared" si="6"/>
        <v>#VALUE!</v>
      </c>
      <c r="F208" t="str">
        <f t="shared" si="7"/>
        <v/>
      </c>
    </row>
    <row r="209" spans="4:6" x14ac:dyDescent="0.25">
      <c r="D209" t="str">
        <f>IFERROR(VLOOKUP(B209,PRODUCTOS!A:B,2,FALSE),"")</f>
        <v/>
      </c>
      <c r="E209" t="e">
        <f t="shared" si="6"/>
        <v>#VALUE!</v>
      </c>
      <c r="F209" t="str">
        <f t="shared" si="7"/>
        <v/>
      </c>
    </row>
    <row r="210" spans="4:6" x14ac:dyDescent="0.25">
      <c r="D210" t="str">
        <f>IFERROR(VLOOKUP(B210,PRODUCTOS!A:B,2,FALSE),"")</f>
        <v/>
      </c>
      <c r="E210" t="e">
        <f t="shared" si="6"/>
        <v>#VALUE!</v>
      </c>
      <c r="F210" t="str">
        <f t="shared" si="7"/>
        <v/>
      </c>
    </row>
    <row r="211" spans="4:6" x14ac:dyDescent="0.25">
      <c r="D211" t="str">
        <f>IFERROR(VLOOKUP(B211,PRODUCTOS!A:B,2,FALSE),"")</f>
        <v/>
      </c>
      <c r="E211" t="e">
        <f t="shared" si="6"/>
        <v>#VALUE!</v>
      </c>
      <c r="F211" t="str">
        <f t="shared" si="7"/>
        <v/>
      </c>
    </row>
    <row r="212" spans="4:6" x14ac:dyDescent="0.25">
      <c r="D212" t="str">
        <f>IFERROR(VLOOKUP(B212,PRODUCTOS!A:B,2,FALSE),"")</f>
        <v/>
      </c>
      <c r="E212" t="e">
        <f t="shared" si="6"/>
        <v>#VALUE!</v>
      </c>
      <c r="F212" t="str">
        <f t="shared" si="7"/>
        <v/>
      </c>
    </row>
    <row r="213" spans="4:6" x14ac:dyDescent="0.25">
      <c r="D213" t="str">
        <f>IFERROR(VLOOKUP(B213,PRODUCTOS!A:B,2,FALSE),"")</f>
        <v/>
      </c>
      <c r="E213" t="e">
        <f t="shared" si="6"/>
        <v>#VALUE!</v>
      </c>
      <c r="F213" t="str">
        <f t="shared" si="7"/>
        <v/>
      </c>
    </row>
    <row r="214" spans="4:6" x14ac:dyDescent="0.25">
      <c r="D214" t="str">
        <f>IFERROR(VLOOKUP(B214,PRODUCTOS!A:B,2,FALSE),"")</f>
        <v/>
      </c>
      <c r="E214" t="e">
        <f t="shared" si="6"/>
        <v>#VALUE!</v>
      </c>
      <c r="F214" t="str">
        <f t="shared" si="7"/>
        <v/>
      </c>
    </row>
    <row r="215" spans="4:6" x14ac:dyDescent="0.25">
      <c r="D215" t="str">
        <f>IFERROR(VLOOKUP(B215,PRODUCTOS!A:B,2,FALSE),"")</f>
        <v/>
      </c>
      <c r="E215" t="e">
        <f t="shared" si="6"/>
        <v>#VALUE!</v>
      </c>
      <c r="F215" t="str">
        <f t="shared" si="7"/>
        <v/>
      </c>
    </row>
    <row r="216" spans="4:6" x14ac:dyDescent="0.25">
      <c r="D216" t="str">
        <f>IFERROR(VLOOKUP(B216,PRODUCTOS!A:B,2,FALSE),"")</f>
        <v/>
      </c>
      <c r="E216" t="e">
        <f t="shared" si="6"/>
        <v>#VALUE!</v>
      </c>
      <c r="F216" t="str">
        <f t="shared" si="7"/>
        <v/>
      </c>
    </row>
    <row r="217" spans="4:6" x14ac:dyDescent="0.25">
      <c r="D217" t="str">
        <f>IFERROR(VLOOKUP(B217,PRODUCTOS!A:B,2,FALSE),"")</f>
        <v/>
      </c>
      <c r="E217" t="e">
        <f t="shared" si="6"/>
        <v>#VALUE!</v>
      </c>
      <c r="F217" t="str">
        <f t="shared" si="7"/>
        <v/>
      </c>
    </row>
    <row r="218" spans="4:6" x14ac:dyDescent="0.25">
      <c r="D218" t="str">
        <f>IFERROR(VLOOKUP(B218,PRODUCTOS!A:B,2,FALSE),"")</f>
        <v/>
      </c>
      <c r="E218" t="e">
        <f t="shared" si="6"/>
        <v>#VALUE!</v>
      </c>
      <c r="F218" t="str">
        <f t="shared" si="7"/>
        <v/>
      </c>
    </row>
    <row r="219" spans="4:6" x14ac:dyDescent="0.25">
      <c r="D219" t="str">
        <f>IFERROR(VLOOKUP(B219,PRODUCTOS!A:B,2,FALSE),"")</f>
        <v/>
      </c>
      <c r="E219" t="e">
        <f t="shared" si="6"/>
        <v>#VALUE!</v>
      </c>
      <c r="F219" t="str">
        <f t="shared" si="7"/>
        <v/>
      </c>
    </row>
    <row r="220" spans="4:6" x14ac:dyDescent="0.25">
      <c r="D220" t="str">
        <f>IFERROR(VLOOKUP(B220,PRODUCTOS!A:B,2,FALSE),"")</f>
        <v/>
      </c>
      <c r="E220" t="e">
        <f t="shared" si="6"/>
        <v>#VALUE!</v>
      </c>
      <c r="F220" t="str">
        <f t="shared" si="7"/>
        <v/>
      </c>
    </row>
    <row r="221" spans="4:6" x14ac:dyDescent="0.25">
      <c r="D221" t="str">
        <f>IFERROR(VLOOKUP(B221,PRODUCTOS!A:B,2,FALSE),"")</f>
        <v/>
      </c>
      <c r="E221" t="e">
        <f t="shared" si="6"/>
        <v>#VALUE!</v>
      </c>
      <c r="F221" t="str">
        <f t="shared" si="7"/>
        <v/>
      </c>
    </row>
    <row r="222" spans="4:6" x14ac:dyDescent="0.25">
      <c r="D222" t="str">
        <f>IFERROR(VLOOKUP(B222,PRODUCTOS!A:B,2,FALSE),"")</f>
        <v/>
      </c>
      <c r="E222" t="e">
        <f t="shared" si="6"/>
        <v>#VALUE!</v>
      </c>
      <c r="F222" t="str">
        <f t="shared" si="7"/>
        <v/>
      </c>
    </row>
    <row r="223" spans="4:6" x14ac:dyDescent="0.25">
      <c r="D223" t="str">
        <f>IFERROR(VLOOKUP(B223,PRODUCTOS!A:B,2,FALSE),"")</f>
        <v/>
      </c>
      <c r="E223" t="e">
        <f t="shared" si="6"/>
        <v>#VALUE!</v>
      </c>
      <c r="F223" t="str">
        <f t="shared" si="7"/>
        <v/>
      </c>
    </row>
    <row r="224" spans="4:6" x14ac:dyDescent="0.25">
      <c r="D224" t="str">
        <f>IFERROR(VLOOKUP(B224,PRODUCTOS!A:B,2,FALSE),"")</f>
        <v/>
      </c>
      <c r="E224" t="e">
        <f t="shared" si="6"/>
        <v>#VALUE!</v>
      </c>
      <c r="F224" t="str">
        <f t="shared" si="7"/>
        <v/>
      </c>
    </row>
    <row r="225" spans="4:6" x14ac:dyDescent="0.25">
      <c r="D225" t="str">
        <f>IFERROR(VLOOKUP(B225,PRODUCTOS!A:B,2,FALSE),"")</f>
        <v/>
      </c>
      <c r="E225" t="e">
        <f t="shared" si="6"/>
        <v>#VALUE!</v>
      </c>
      <c r="F225" t="str">
        <f t="shared" si="7"/>
        <v/>
      </c>
    </row>
    <row r="226" spans="4:6" x14ac:dyDescent="0.25">
      <c r="D226" t="str">
        <f>IFERROR(VLOOKUP(B226,PRODUCTOS!A:B,2,FALSE),"")</f>
        <v/>
      </c>
      <c r="E226" t="e">
        <f t="shared" si="6"/>
        <v>#VALUE!</v>
      </c>
      <c r="F226" t="str">
        <f t="shared" si="7"/>
        <v/>
      </c>
    </row>
    <row r="227" spans="4:6" x14ac:dyDescent="0.25">
      <c r="D227" t="str">
        <f>IFERROR(VLOOKUP(B227,PRODUCTOS!A:B,2,FALSE),"")</f>
        <v/>
      </c>
      <c r="E227" t="e">
        <f t="shared" si="6"/>
        <v>#VALUE!</v>
      </c>
      <c r="F227" t="str">
        <f t="shared" si="7"/>
        <v/>
      </c>
    </row>
    <row r="228" spans="4:6" x14ac:dyDescent="0.25">
      <c r="D228" t="str">
        <f>IFERROR(VLOOKUP(B228,PRODUCTOS!A:B,2,FALSE),"")</f>
        <v/>
      </c>
      <c r="E228" t="e">
        <f t="shared" si="6"/>
        <v>#VALUE!</v>
      </c>
      <c r="F228" t="str">
        <f t="shared" si="7"/>
        <v/>
      </c>
    </row>
    <row r="229" spans="4:6" x14ac:dyDescent="0.25">
      <c r="D229" t="str">
        <f>IFERROR(VLOOKUP(B229,PRODUCTOS!A:B,2,FALSE),"")</f>
        <v/>
      </c>
      <c r="E229" t="e">
        <f t="shared" si="6"/>
        <v>#VALUE!</v>
      </c>
      <c r="F229" t="str">
        <f t="shared" si="7"/>
        <v/>
      </c>
    </row>
    <row r="230" spans="4:6" x14ac:dyDescent="0.25">
      <c r="D230" t="str">
        <f>IFERROR(VLOOKUP(B230,PRODUCTOS!A:B,2,FALSE),"")</f>
        <v/>
      </c>
      <c r="E230" t="e">
        <f t="shared" si="6"/>
        <v>#VALUE!</v>
      </c>
      <c r="F230" t="str">
        <f t="shared" si="7"/>
        <v/>
      </c>
    </row>
    <row r="231" spans="4:6" x14ac:dyDescent="0.25">
      <c r="D231" t="str">
        <f>IFERROR(VLOOKUP(B231,PRODUCTOS!A:B,2,FALSE),"")</f>
        <v/>
      </c>
      <c r="E231" t="e">
        <f t="shared" si="6"/>
        <v>#VALUE!</v>
      </c>
      <c r="F231" t="str">
        <f t="shared" si="7"/>
        <v/>
      </c>
    </row>
    <row r="232" spans="4:6" x14ac:dyDescent="0.25">
      <c r="D232" t="str">
        <f>IFERROR(VLOOKUP(B232,PRODUCTOS!A:B,2,FALSE),"")</f>
        <v/>
      </c>
      <c r="E232" t="e">
        <f t="shared" si="6"/>
        <v>#VALUE!</v>
      </c>
      <c r="F232" t="str">
        <f t="shared" si="7"/>
        <v/>
      </c>
    </row>
    <row r="233" spans="4:6" x14ac:dyDescent="0.25">
      <c r="D233" t="str">
        <f>IFERROR(VLOOKUP(B233,PRODUCTOS!A:B,2,FALSE),"")</f>
        <v/>
      </c>
      <c r="E233" t="e">
        <f t="shared" si="6"/>
        <v>#VALUE!</v>
      </c>
      <c r="F233" t="str">
        <f t="shared" si="7"/>
        <v/>
      </c>
    </row>
    <row r="234" spans="4:6" x14ac:dyDescent="0.25">
      <c r="D234" t="str">
        <f>IFERROR(VLOOKUP(B234,PRODUCTOS!A:B,2,FALSE),"")</f>
        <v/>
      </c>
      <c r="E234" t="e">
        <f t="shared" si="6"/>
        <v>#VALUE!</v>
      </c>
      <c r="F234" t="str">
        <f t="shared" si="7"/>
        <v/>
      </c>
    </row>
    <row r="235" spans="4:6" x14ac:dyDescent="0.25">
      <c r="D235" t="str">
        <f>IFERROR(VLOOKUP(B235,PRODUCTOS!A:B,2,FALSE),"")</f>
        <v/>
      </c>
      <c r="E235" t="e">
        <f t="shared" si="6"/>
        <v>#VALUE!</v>
      </c>
      <c r="F235" t="str">
        <f t="shared" si="7"/>
        <v/>
      </c>
    </row>
    <row r="236" spans="4:6" x14ac:dyDescent="0.25">
      <c r="D236" t="str">
        <f>IFERROR(VLOOKUP(B236,PRODUCTOS!A:B,2,FALSE),"")</f>
        <v/>
      </c>
      <c r="E236" t="e">
        <f t="shared" si="6"/>
        <v>#VALUE!</v>
      </c>
      <c r="F236" t="str">
        <f t="shared" si="7"/>
        <v/>
      </c>
    </row>
    <row r="237" spans="4:6" x14ac:dyDescent="0.25">
      <c r="D237" t="str">
        <f>IFERROR(VLOOKUP(B237,PRODUCTOS!A:B,2,FALSE),"")</f>
        <v/>
      </c>
      <c r="E237" t="e">
        <f t="shared" si="6"/>
        <v>#VALUE!</v>
      </c>
      <c r="F237" t="str">
        <f t="shared" si="7"/>
        <v/>
      </c>
    </row>
    <row r="238" spans="4:6" x14ac:dyDescent="0.25">
      <c r="D238" t="str">
        <f>IFERROR(VLOOKUP(B238,PRODUCTOS!A:B,2,FALSE),"")</f>
        <v/>
      </c>
      <c r="E238" t="e">
        <f t="shared" si="6"/>
        <v>#VALUE!</v>
      </c>
      <c r="F238" t="str">
        <f t="shared" si="7"/>
        <v/>
      </c>
    </row>
    <row r="239" spans="4:6" x14ac:dyDescent="0.25">
      <c r="D239" t="str">
        <f>IFERROR(VLOOKUP(B239,PRODUCTOS!A:B,2,FALSE),"")</f>
        <v/>
      </c>
      <c r="E239" t="e">
        <f t="shared" si="6"/>
        <v>#VALUE!</v>
      </c>
      <c r="F239" t="str">
        <f t="shared" si="7"/>
        <v/>
      </c>
    </row>
    <row r="240" spans="4:6" x14ac:dyDescent="0.25">
      <c r="D240" t="str">
        <f>IFERROR(VLOOKUP(B240,PRODUCTOS!A:B,2,FALSE),"")</f>
        <v/>
      </c>
      <c r="E240" t="e">
        <f t="shared" si="6"/>
        <v>#VALUE!</v>
      </c>
      <c r="F240" t="str">
        <f t="shared" si="7"/>
        <v/>
      </c>
    </row>
    <row r="241" spans="4:6" x14ac:dyDescent="0.25">
      <c r="D241" t="str">
        <f>IFERROR(VLOOKUP(B241,PRODUCTOS!A:B,2,FALSE),"")</f>
        <v/>
      </c>
      <c r="E241" t="e">
        <f t="shared" si="6"/>
        <v>#VALUE!</v>
      </c>
      <c r="F241" t="str">
        <f t="shared" si="7"/>
        <v/>
      </c>
    </row>
    <row r="242" spans="4:6" x14ac:dyDescent="0.25">
      <c r="D242" t="str">
        <f>IFERROR(VLOOKUP(B242,PRODUCTOS!A:B,2,FALSE),"")</f>
        <v/>
      </c>
      <c r="E242" t="e">
        <f t="shared" si="6"/>
        <v>#VALUE!</v>
      </c>
      <c r="F242" t="str">
        <f t="shared" si="7"/>
        <v/>
      </c>
    </row>
    <row r="243" spans="4:6" x14ac:dyDescent="0.25">
      <c r="D243" t="str">
        <f>IFERROR(VLOOKUP(B243,PRODUCTOS!A:B,2,FALSE),"")</f>
        <v/>
      </c>
      <c r="E243" t="e">
        <f t="shared" si="6"/>
        <v>#VALUE!</v>
      </c>
      <c r="F243" t="str">
        <f t="shared" si="7"/>
        <v/>
      </c>
    </row>
    <row r="244" spans="4:6" x14ac:dyDescent="0.25">
      <c r="D244" t="str">
        <f>IFERROR(VLOOKUP(B244,PRODUCTOS!A:B,2,FALSE),"")</f>
        <v/>
      </c>
      <c r="E244" t="e">
        <f t="shared" si="6"/>
        <v>#VALUE!</v>
      </c>
      <c r="F244" t="str">
        <f t="shared" si="7"/>
        <v/>
      </c>
    </row>
    <row r="245" spans="4:6" x14ac:dyDescent="0.25">
      <c r="D245" t="str">
        <f>IFERROR(VLOOKUP(B245,PRODUCTOS!A:B,2,FALSE),"")</f>
        <v/>
      </c>
      <c r="E245" t="e">
        <f t="shared" si="6"/>
        <v>#VALUE!</v>
      </c>
      <c r="F245" t="str">
        <f t="shared" si="7"/>
        <v/>
      </c>
    </row>
    <row r="246" spans="4:6" x14ac:dyDescent="0.25">
      <c r="D246" t="str">
        <f>IFERROR(VLOOKUP(B246,PRODUCTOS!A:B,2,FALSE),"")</f>
        <v/>
      </c>
      <c r="E246" t="e">
        <f t="shared" si="6"/>
        <v>#VALUE!</v>
      </c>
      <c r="F246" t="str">
        <f t="shared" si="7"/>
        <v/>
      </c>
    </row>
    <row r="247" spans="4:6" x14ac:dyDescent="0.25">
      <c r="D247" t="str">
        <f>IFERROR(VLOOKUP(B247,PRODUCTOS!A:B,2,FALSE),"")</f>
        <v/>
      </c>
      <c r="E247" t="e">
        <f t="shared" si="6"/>
        <v>#VALUE!</v>
      </c>
      <c r="F247" t="str">
        <f t="shared" si="7"/>
        <v/>
      </c>
    </row>
    <row r="248" spans="4:6" x14ac:dyDescent="0.25">
      <c r="D248" t="str">
        <f>IFERROR(VLOOKUP(B248,PRODUCTOS!A:B,2,FALSE),"")</f>
        <v/>
      </c>
      <c r="E248" t="e">
        <f t="shared" si="6"/>
        <v>#VALUE!</v>
      </c>
      <c r="F248" t="str">
        <f t="shared" si="7"/>
        <v/>
      </c>
    </row>
    <row r="249" spans="4:6" x14ac:dyDescent="0.25">
      <c r="D249" t="str">
        <f>IFERROR(VLOOKUP(B249,PRODUCTOS!A:B,2,FALSE),"")</f>
        <v/>
      </c>
      <c r="E249" t="e">
        <f t="shared" si="6"/>
        <v>#VALUE!</v>
      </c>
      <c r="F249" t="str">
        <f t="shared" si="7"/>
        <v/>
      </c>
    </row>
    <row r="250" spans="4:6" x14ac:dyDescent="0.25">
      <c r="D250" t="str">
        <f>IFERROR(VLOOKUP(B250,PRODUCTOS!A:B,2,FALSE),"")</f>
        <v/>
      </c>
      <c r="E250" t="e">
        <f t="shared" si="6"/>
        <v>#VALUE!</v>
      </c>
      <c r="F250" t="str">
        <f t="shared" si="7"/>
        <v/>
      </c>
    </row>
    <row r="251" spans="4:6" x14ac:dyDescent="0.25">
      <c r="D251" t="str">
        <f>IFERROR(VLOOKUP(B251,PRODUCTOS!A:B,2,FALSE),"")</f>
        <v/>
      </c>
      <c r="E251" t="e">
        <f t="shared" si="6"/>
        <v>#VALUE!</v>
      </c>
      <c r="F251" t="str">
        <f t="shared" si="7"/>
        <v/>
      </c>
    </row>
    <row r="252" spans="4:6" x14ac:dyDescent="0.25">
      <c r="D252" t="str">
        <f>IFERROR(VLOOKUP(B252,PRODUCTOS!A:B,2,FALSE),"")</f>
        <v/>
      </c>
      <c r="E252" t="e">
        <f t="shared" si="6"/>
        <v>#VALUE!</v>
      </c>
      <c r="F252" t="str">
        <f t="shared" si="7"/>
        <v/>
      </c>
    </row>
    <row r="253" spans="4:6" x14ac:dyDescent="0.25">
      <c r="D253" t="str">
        <f>IFERROR(VLOOKUP(B253,PRODUCTOS!A:B,2,FALSE),"")</f>
        <v/>
      </c>
      <c r="E253" t="e">
        <f t="shared" si="6"/>
        <v>#VALUE!</v>
      </c>
      <c r="F253" t="str">
        <f t="shared" si="7"/>
        <v/>
      </c>
    </row>
    <row r="254" spans="4:6" x14ac:dyDescent="0.25">
      <c r="D254" t="str">
        <f>IFERROR(VLOOKUP(B254,PRODUCTOS!A:B,2,FALSE),"")</f>
        <v/>
      </c>
      <c r="E254" t="e">
        <f t="shared" si="6"/>
        <v>#VALUE!</v>
      </c>
      <c r="F254" t="str">
        <f t="shared" si="7"/>
        <v/>
      </c>
    </row>
    <row r="255" spans="4:6" x14ac:dyDescent="0.25">
      <c r="D255" t="str">
        <f>IFERROR(VLOOKUP(B255,PRODUCTOS!A:B,2,FALSE),"")</f>
        <v/>
      </c>
      <c r="E255" t="e">
        <f t="shared" si="6"/>
        <v>#VALUE!</v>
      </c>
      <c r="F255" t="str">
        <f t="shared" si="7"/>
        <v/>
      </c>
    </row>
    <row r="256" spans="4:6" x14ac:dyDescent="0.25">
      <c r="D256" t="str">
        <f>IFERROR(VLOOKUP(B256,PRODUCTOS!A:B,2,FALSE),"")</f>
        <v/>
      </c>
      <c r="E256" t="e">
        <f t="shared" si="6"/>
        <v>#VALUE!</v>
      </c>
      <c r="F256" t="str">
        <f t="shared" si="7"/>
        <v/>
      </c>
    </row>
    <row r="257" spans="4:6" x14ac:dyDescent="0.25">
      <c r="D257" t="str">
        <f>IFERROR(VLOOKUP(B257,PRODUCTOS!A:B,2,FALSE),"")</f>
        <v/>
      </c>
      <c r="E257" t="e">
        <f t="shared" si="6"/>
        <v>#VALUE!</v>
      </c>
      <c r="F257" t="str">
        <f t="shared" si="7"/>
        <v/>
      </c>
    </row>
    <row r="258" spans="4:6" x14ac:dyDescent="0.25">
      <c r="D258" t="str">
        <f>IFERROR(VLOOKUP(B258,PRODUCTOS!A:B,2,FALSE),"")</f>
        <v/>
      </c>
      <c r="E258" t="e">
        <f t="shared" ref="E258:E321" si="8">C258*D258</f>
        <v>#VALUE!</v>
      </c>
      <c r="F258" t="str">
        <f t="shared" ref="F258:F321" si="9">IF(A258="","",TEXT(A258,"yyyy-mm"))</f>
        <v/>
      </c>
    </row>
    <row r="259" spans="4:6" x14ac:dyDescent="0.25">
      <c r="D259" t="str">
        <f>IFERROR(VLOOKUP(B259,PRODUCTOS!A:B,2,FALSE),"")</f>
        <v/>
      </c>
      <c r="E259" t="e">
        <f t="shared" si="8"/>
        <v>#VALUE!</v>
      </c>
      <c r="F259" t="str">
        <f t="shared" si="9"/>
        <v/>
      </c>
    </row>
    <row r="260" spans="4:6" x14ac:dyDescent="0.25">
      <c r="D260" t="str">
        <f>IFERROR(VLOOKUP(B260,PRODUCTOS!A:B,2,FALSE),"")</f>
        <v/>
      </c>
      <c r="E260" t="e">
        <f t="shared" si="8"/>
        <v>#VALUE!</v>
      </c>
      <c r="F260" t="str">
        <f t="shared" si="9"/>
        <v/>
      </c>
    </row>
    <row r="261" spans="4:6" x14ac:dyDescent="0.25">
      <c r="D261" t="str">
        <f>IFERROR(VLOOKUP(B261,PRODUCTOS!A:B,2,FALSE),"")</f>
        <v/>
      </c>
      <c r="E261" t="e">
        <f t="shared" si="8"/>
        <v>#VALUE!</v>
      </c>
      <c r="F261" t="str">
        <f t="shared" si="9"/>
        <v/>
      </c>
    </row>
    <row r="262" spans="4:6" x14ac:dyDescent="0.25">
      <c r="D262" t="str">
        <f>IFERROR(VLOOKUP(B262,PRODUCTOS!A:B,2,FALSE),"")</f>
        <v/>
      </c>
      <c r="E262" t="e">
        <f t="shared" si="8"/>
        <v>#VALUE!</v>
      </c>
      <c r="F262" t="str">
        <f t="shared" si="9"/>
        <v/>
      </c>
    </row>
    <row r="263" spans="4:6" x14ac:dyDescent="0.25">
      <c r="D263" t="str">
        <f>IFERROR(VLOOKUP(B263,PRODUCTOS!A:B,2,FALSE),"")</f>
        <v/>
      </c>
      <c r="E263" t="e">
        <f t="shared" si="8"/>
        <v>#VALUE!</v>
      </c>
      <c r="F263" t="str">
        <f t="shared" si="9"/>
        <v/>
      </c>
    </row>
    <row r="264" spans="4:6" x14ac:dyDescent="0.25">
      <c r="D264" t="str">
        <f>IFERROR(VLOOKUP(B264,PRODUCTOS!A:B,2,FALSE),"")</f>
        <v/>
      </c>
      <c r="E264" t="e">
        <f t="shared" si="8"/>
        <v>#VALUE!</v>
      </c>
      <c r="F264" t="str">
        <f t="shared" si="9"/>
        <v/>
      </c>
    </row>
    <row r="265" spans="4:6" x14ac:dyDescent="0.25">
      <c r="D265" t="str">
        <f>IFERROR(VLOOKUP(B265,PRODUCTOS!A:B,2,FALSE),"")</f>
        <v/>
      </c>
      <c r="E265" t="e">
        <f t="shared" si="8"/>
        <v>#VALUE!</v>
      </c>
      <c r="F265" t="str">
        <f t="shared" si="9"/>
        <v/>
      </c>
    </row>
    <row r="266" spans="4:6" x14ac:dyDescent="0.25">
      <c r="D266" t="str">
        <f>IFERROR(VLOOKUP(B266,PRODUCTOS!A:B,2,FALSE),"")</f>
        <v/>
      </c>
      <c r="E266" t="e">
        <f t="shared" si="8"/>
        <v>#VALUE!</v>
      </c>
      <c r="F266" t="str">
        <f t="shared" si="9"/>
        <v/>
      </c>
    </row>
    <row r="267" spans="4:6" x14ac:dyDescent="0.25">
      <c r="D267" t="str">
        <f>IFERROR(VLOOKUP(B267,PRODUCTOS!A:B,2,FALSE),"")</f>
        <v/>
      </c>
      <c r="E267" t="e">
        <f t="shared" si="8"/>
        <v>#VALUE!</v>
      </c>
      <c r="F267" t="str">
        <f t="shared" si="9"/>
        <v/>
      </c>
    </row>
    <row r="268" spans="4:6" x14ac:dyDescent="0.25">
      <c r="D268" t="str">
        <f>IFERROR(VLOOKUP(B268,PRODUCTOS!A:B,2,FALSE),"")</f>
        <v/>
      </c>
      <c r="E268" t="e">
        <f t="shared" si="8"/>
        <v>#VALUE!</v>
      </c>
      <c r="F268" t="str">
        <f t="shared" si="9"/>
        <v/>
      </c>
    </row>
    <row r="269" spans="4:6" x14ac:dyDescent="0.25">
      <c r="D269" t="str">
        <f>IFERROR(VLOOKUP(B269,PRODUCTOS!A:B,2,FALSE),"")</f>
        <v/>
      </c>
      <c r="E269" t="e">
        <f t="shared" si="8"/>
        <v>#VALUE!</v>
      </c>
      <c r="F269" t="str">
        <f t="shared" si="9"/>
        <v/>
      </c>
    </row>
    <row r="270" spans="4:6" x14ac:dyDescent="0.25">
      <c r="D270" t="str">
        <f>IFERROR(VLOOKUP(B270,PRODUCTOS!A:B,2,FALSE),"")</f>
        <v/>
      </c>
      <c r="E270" t="e">
        <f t="shared" si="8"/>
        <v>#VALUE!</v>
      </c>
      <c r="F270" t="str">
        <f t="shared" si="9"/>
        <v/>
      </c>
    </row>
    <row r="271" spans="4:6" x14ac:dyDescent="0.25">
      <c r="D271" t="str">
        <f>IFERROR(VLOOKUP(B271,PRODUCTOS!A:B,2,FALSE),"")</f>
        <v/>
      </c>
      <c r="E271" t="e">
        <f t="shared" si="8"/>
        <v>#VALUE!</v>
      </c>
      <c r="F271" t="str">
        <f t="shared" si="9"/>
        <v/>
      </c>
    </row>
    <row r="272" spans="4:6" x14ac:dyDescent="0.25">
      <c r="D272" t="str">
        <f>IFERROR(VLOOKUP(B272,PRODUCTOS!A:B,2,FALSE),"")</f>
        <v/>
      </c>
      <c r="E272" t="e">
        <f t="shared" si="8"/>
        <v>#VALUE!</v>
      </c>
      <c r="F272" t="str">
        <f t="shared" si="9"/>
        <v/>
      </c>
    </row>
    <row r="273" spans="4:6" x14ac:dyDescent="0.25">
      <c r="D273" t="str">
        <f>IFERROR(VLOOKUP(B273,PRODUCTOS!A:B,2,FALSE),"")</f>
        <v/>
      </c>
      <c r="E273" t="e">
        <f t="shared" si="8"/>
        <v>#VALUE!</v>
      </c>
      <c r="F273" t="str">
        <f t="shared" si="9"/>
        <v/>
      </c>
    </row>
    <row r="274" spans="4:6" x14ac:dyDescent="0.25">
      <c r="D274" t="str">
        <f>IFERROR(VLOOKUP(B274,PRODUCTOS!A:B,2,FALSE),"")</f>
        <v/>
      </c>
      <c r="E274" t="e">
        <f t="shared" si="8"/>
        <v>#VALUE!</v>
      </c>
      <c r="F274" t="str">
        <f t="shared" si="9"/>
        <v/>
      </c>
    </row>
    <row r="275" spans="4:6" x14ac:dyDescent="0.25">
      <c r="D275" t="str">
        <f>IFERROR(VLOOKUP(B275,PRODUCTOS!A:B,2,FALSE),"")</f>
        <v/>
      </c>
      <c r="E275" t="e">
        <f t="shared" si="8"/>
        <v>#VALUE!</v>
      </c>
      <c r="F275" t="str">
        <f t="shared" si="9"/>
        <v/>
      </c>
    </row>
    <row r="276" spans="4:6" x14ac:dyDescent="0.25">
      <c r="D276" t="str">
        <f>IFERROR(VLOOKUP(B276,PRODUCTOS!A:B,2,FALSE),"")</f>
        <v/>
      </c>
      <c r="E276" t="e">
        <f t="shared" si="8"/>
        <v>#VALUE!</v>
      </c>
      <c r="F276" t="str">
        <f t="shared" si="9"/>
        <v/>
      </c>
    </row>
    <row r="277" spans="4:6" x14ac:dyDescent="0.25">
      <c r="D277" t="str">
        <f>IFERROR(VLOOKUP(B277,PRODUCTOS!A:B,2,FALSE),"")</f>
        <v/>
      </c>
      <c r="E277" t="e">
        <f t="shared" si="8"/>
        <v>#VALUE!</v>
      </c>
      <c r="F277" t="str">
        <f t="shared" si="9"/>
        <v/>
      </c>
    </row>
    <row r="278" spans="4:6" x14ac:dyDescent="0.25">
      <c r="D278" t="str">
        <f>IFERROR(VLOOKUP(B278,PRODUCTOS!A:B,2,FALSE),"")</f>
        <v/>
      </c>
      <c r="E278" t="e">
        <f t="shared" si="8"/>
        <v>#VALUE!</v>
      </c>
      <c r="F278" t="str">
        <f t="shared" si="9"/>
        <v/>
      </c>
    </row>
    <row r="279" spans="4:6" x14ac:dyDescent="0.25">
      <c r="D279" t="str">
        <f>IFERROR(VLOOKUP(B279,PRODUCTOS!A:B,2,FALSE),"")</f>
        <v/>
      </c>
      <c r="E279" t="e">
        <f t="shared" si="8"/>
        <v>#VALUE!</v>
      </c>
      <c r="F279" t="str">
        <f t="shared" si="9"/>
        <v/>
      </c>
    </row>
    <row r="280" spans="4:6" x14ac:dyDescent="0.25">
      <c r="D280" t="str">
        <f>IFERROR(VLOOKUP(B280,PRODUCTOS!A:B,2,FALSE),"")</f>
        <v/>
      </c>
      <c r="E280" t="e">
        <f t="shared" si="8"/>
        <v>#VALUE!</v>
      </c>
      <c r="F280" t="str">
        <f t="shared" si="9"/>
        <v/>
      </c>
    </row>
    <row r="281" spans="4:6" x14ac:dyDescent="0.25">
      <c r="D281" t="str">
        <f>IFERROR(VLOOKUP(B281,PRODUCTOS!A:B,2,FALSE),"")</f>
        <v/>
      </c>
      <c r="E281" t="e">
        <f t="shared" si="8"/>
        <v>#VALUE!</v>
      </c>
      <c r="F281" t="str">
        <f t="shared" si="9"/>
        <v/>
      </c>
    </row>
    <row r="282" spans="4:6" x14ac:dyDescent="0.25">
      <c r="D282" t="str">
        <f>IFERROR(VLOOKUP(B282,PRODUCTOS!A:B,2,FALSE),"")</f>
        <v/>
      </c>
      <c r="E282" t="e">
        <f t="shared" si="8"/>
        <v>#VALUE!</v>
      </c>
      <c r="F282" t="str">
        <f t="shared" si="9"/>
        <v/>
      </c>
    </row>
    <row r="283" spans="4:6" x14ac:dyDescent="0.25">
      <c r="D283" t="str">
        <f>IFERROR(VLOOKUP(B283,PRODUCTOS!A:B,2,FALSE),"")</f>
        <v/>
      </c>
      <c r="E283" t="e">
        <f t="shared" si="8"/>
        <v>#VALUE!</v>
      </c>
      <c r="F283" t="str">
        <f t="shared" si="9"/>
        <v/>
      </c>
    </row>
    <row r="284" spans="4:6" x14ac:dyDescent="0.25">
      <c r="D284" t="str">
        <f>IFERROR(VLOOKUP(B284,PRODUCTOS!A:B,2,FALSE),"")</f>
        <v/>
      </c>
      <c r="E284" t="e">
        <f t="shared" si="8"/>
        <v>#VALUE!</v>
      </c>
      <c r="F284" t="str">
        <f t="shared" si="9"/>
        <v/>
      </c>
    </row>
    <row r="285" spans="4:6" x14ac:dyDescent="0.25">
      <c r="D285" t="str">
        <f>IFERROR(VLOOKUP(B285,PRODUCTOS!A:B,2,FALSE),"")</f>
        <v/>
      </c>
      <c r="E285" t="e">
        <f t="shared" si="8"/>
        <v>#VALUE!</v>
      </c>
      <c r="F285" t="str">
        <f t="shared" si="9"/>
        <v/>
      </c>
    </row>
    <row r="286" spans="4:6" x14ac:dyDescent="0.25">
      <c r="D286" t="str">
        <f>IFERROR(VLOOKUP(B286,PRODUCTOS!A:B,2,FALSE),"")</f>
        <v/>
      </c>
      <c r="E286" t="e">
        <f t="shared" si="8"/>
        <v>#VALUE!</v>
      </c>
      <c r="F286" t="str">
        <f t="shared" si="9"/>
        <v/>
      </c>
    </row>
    <row r="287" spans="4:6" x14ac:dyDescent="0.25">
      <c r="D287" t="str">
        <f>IFERROR(VLOOKUP(B287,PRODUCTOS!A:B,2,FALSE),"")</f>
        <v/>
      </c>
      <c r="E287" t="e">
        <f t="shared" si="8"/>
        <v>#VALUE!</v>
      </c>
      <c r="F287" t="str">
        <f t="shared" si="9"/>
        <v/>
      </c>
    </row>
    <row r="288" spans="4:6" x14ac:dyDescent="0.25">
      <c r="D288" t="str">
        <f>IFERROR(VLOOKUP(B288,PRODUCTOS!A:B,2,FALSE),"")</f>
        <v/>
      </c>
      <c r="E288" t="e">
        <f t="shared" si="8"/>
        <v>#VALUE!</v>
      </c>
      <c r="F288" t="str">
        <f t="shared" si="9"/>
        <v/>
      </c>
    </row>
    <row r="289" spans="4:6" x14ac:dyDescent="0.25">
      <c r="D289" t="str">
        <f>IFERROR(VLOOKUP(B289,PRODUCTOS!A:B,2,FALSE),"")</f>
        <v/>
      </c>
      <c r="E289" t="e">
        <f t="shared" si="8"/>
        <v>#VALUE!</v>
      </c>
      <c r="F289" t="str">
        <f t="shared" si="9"/>
        <v/>
      </c>
    </row>
    <row r="290" spans="4:6" x14ac:dyDescent="0.25">
      <c r="D290" t="str">
        <f>IFERROR(VLOOKUP(B290,PRODUCTOS!A:B,2,FALSE),"")</f>
        <v/>
      </c>
      <c r="E290" t="e">
        <f t="shared" si="8"/>
        <v>#VALUE!</v>
      </c>
      <c r="F290" t="str">
        <f t="shared" si="9"/>
        <v/>
      </c>
    </row>
    <row r="291" spans="4:6" x14ac:dyDescent="0.25">
      <c r="D291" t="str">
        <f>IFERROR(VLOOKUP(B291,PRODUCTOS!A:B,2,FALSE),"")</f>
        <v/>
      </c>
      <c r="E291" t="e">
        <f t="shared" si="8"/>
        <v>#VALUE!</v>
      </c>
      <c r="F291" t="str">
        <f t="shared" si="9"/>
        <v/>
      </c>
    </row>
    <row r="292" spans="4:6" x14ac:dyDescent="0.25">
      <c r="D292" t="str">
        <f>IFERROR(VLOOKUP(B292,PRODUCTOS!A:B,2,FALSE),"")</f>
        <v/>
      </c>
      <c r="E292" t="e">
        <f t="shared" si="8"/>
        <v>#VALUE!</v>
      </c>
      <c r="F292" t="str">
        <f t="shared" si="9"/>
        <v/>
      </c>
    </row>
    <row r="293" spans="4:6" x14ac:dyDescent="0.25">
      <c r="D293" t="str">
        <f>IFERROR(VLOOKUP(B293,PRODUCTOS!A:B,2,FALSE),"")</f>
        <v/>
      </c>
      <c r="E293" t="e">
        <f t="shared" si="8"/>
        <v>#VALUE!</v>
      </c>
      <c r="F293" t="str">
        <f t="shared" si="9"/>
        <v/>
      </c>
    </row>
    <row r="294" spans="4:6" x14ac:dyDescent="0.25">
      <c r="D294" t="str">
        <f>IFERROR(VLOOKUP(B294,PRODUCTOS!A:B,2,FALSE),"")</f>
        <v/>
      </c>
      <c r="E294" t="e">
        <f t="shared" si="8"/>
        <v>#VALUE!</v>
      </c>
      <c r="F294" t="str">
        <f t="shared" si="9"/>
        <v/>
      </c>
    </row>
    <row r="295" spans="4:6" x14ac:dyDescent="0.25">
      <c r="D295" t="str">
        <f>IFERROR(VLOOKUP(B295,PRODUCTOS!A:B,2,FALSE),"")</f>
        <v/>
      </c>
      <c r="E295" t="e">
        <f t="shared" si="8"/>
        <v>#VALUE!</v>
      </c>
      <c r="F295" t="str">
        <f t="shared" si="9"/>
        <v/>
      </c>
    </row>
    <row r="296" spans="4:6" x14ac:dyDescent="0.25">
      <c r="D296" t="str">
        <f>IFERROR(VLOOKUP(B296,PRODUCTOS!A:B,2,FALSE),"")</f>
        <v/>
      </c>
      <c r="E296" t="e">
        <f t="shared" si="8"/>
        <v>#VALUE!</v>
      </c>
      <c r="F296" t="str">
        <f t="shared" si="9"/>
        <v/>
      </c>
    </row>
    <row r="297" spans="4:6" x14ac:dyDescent="0.25">
      <c r="D297" t="str">
        <f>IFERROR(VLOOKUP(B297,PRODUCTOS!A:B,2,FALSE),"")</f>
        <v/>
      </c>
      <c r="E297" t="e">
        <f t="shared" si="8"/>
        <v>#VALUE!</v>
      </c>
      <c r="F297" t="str">
        <f t="shared" si="9"/>
        <v/>
      </c>
    </row>
    <row r="298" spans="4:6" x14ac:dyDescent="0.25">
      <c r="D298" t="str">
        <f>IFERROR(VLOOKUP(B298,PRODUCTOS!A:B,2,FALSE),"")</f>
        <v/>
      </c>
      <c r="E298" t="e">
        <f t="shared" si="8"/>
        <v>#VALUE!</v>
      </c>
      <c r="F298" t="str">
        <f t="shared" si="9"/>
        <v/>
      </c>
    </row>
    <row r="299" spans="4:6" x14ac:dyDescent="0.25">
      <c r="D299" t="str">
        <f>IFERROR(VLOOKUP(B299,PRODUCTOS!A:B,2,FALSE),"")</f>
        <v/>
      </c>
      <c r="E299" t="e">
        <f t="shared" si="8"/>
        <v>#VALUE!</v>
      </c>
      <c r="F299" t="str">
        <f t="shared" si="9"/>
        <v/>
      </c>
    </row>
    <row r="300" spans="4:6" x14ac:dyDescent="0.25">
      <c r="D300" t="str">
        <f>IFERROR(VLOOKUP(B300,PRODUCTOS!A:B,2,FALSE),"")</f>
        <v/>
      </c>
      <c r="E300" t="e">
        <f t="shared" si="8"/>
        <v>#VALUE!</v>
      </c>
      <c r="F300" t="str">
        <f t="shared" si="9"/>
        <v/>
      </c>
    </row>
    <row r="301" spans="4:6" x14ac:dyDescent="0.25">
      <c r="D301" t="str">
        <f>IFERROR(VLOOKUP(B301,PRODUCTOS!A:B,2,FALSE),"")</f>
        <v/>
      </c>
      <c r="E301" t="e">
        <f t="shared" si="8"/>
        <v>#VALUE!</v>
      </c>
      <c r="F301" t="str">
        <f t="shared" si="9"/>
        <v/>
      </c>
    </row>
    <row r="302" spans="4:6" x14ac:dyDescent="0.25">
      <c r="D302" t="str">
        <f>IFERROR(VLOOKUP(B302,PRODUCTOS!A:B,2,FALSE),"")</f>
        <v/>
      </c>
      <c r="E302" t="e">
        <f t="shared" si="8"/>
        <v>#VALUE!</v>
      </c>
      <c r="F302" t="str">
        <f t="shared" si="9"/>
        <v/>
      </c>
    </row>
    <row r="303" spans="4:6" x14ac:dyDescent="0.25">
      <c r="D303" t="str">
        <f>IFERROR(VLOOKUP(B303,PRODUCTOS!A:B,2,FALSE),"")</f>
        <v/>
      </c>
      <c r="E303" t="e">
        <f t="shared" si="8"/>
        <v>#VALUE!</v>
      </c>
      <c r="F303" t="str">
        <f t="shared" si="9"/>
        <v/>
      </c>
    </row>
    <row r="304" spans="4:6" x14ac:dyDescent="0.25">
      <c r="D304" t="str">
        <f>IFERROR(VLOOKUP(B304,PRODUCTOS!A:B,2,FALSE),"")</f>
        <v/>
      </c>
      <c r="E304" t="e">
        <f t="shared" si="8"/>
        <v>#VALUE!</v>
      </c>
      <c r="F304" t="str">
        <f t="shared" si="9"/>
        <v/>
      </c>
    </row>
    <row r="305" spans="4:6" x14ac:dyDescent="0.25">
      <c r="D305" t="str">
        <f>IFERROR(VLOOKUP(B305,PRODUCTOS!A:B,2,FALSE),"")</f>
        <v/>
      </c>
      <c r="E305" t="e">
        <f t="shared" si="8"/>
        <v>#VALUE!</v>
      </c>
      <c r="F305" t="str">
        <f t="shared" si="9"/>
        <v/>
      </c>
    </row>
    <row r="306" spans="4:6" x14ac:dyDescent="0.25">
      <c r="D306" t="str">
        <f>IFERROR(VLOOKUP(B306,PRODUCTOS!A:B,2,FALSE),"")</f>
        <v/>
      </c>
      <c r="E306" t="e">
        <f t="shared" si="8"/>
        <v>#VALUE!</v>
      </c>
      <c r="F306" t="str">
        <f t="shared" si="9"/>
        <v/>
      </c>
    </row>
    <row r="307" spans="4:6" x14ac:dyDescent="0.25">
      <c r="D307" t="str">
        <f>IFERROR(VLOOKUP(B307,PRODUCTOS!A:B,2,FALSE),"")</f>
        <v/>
      </c>
      <c r="E307" t="e">
        <f t="shared" si="8"/>
        <v>#VALUE!</v>
      </c>
      <c r="F307" t="str">
        <f t="shared" si="9"/>
        <v/>
      </c>
    </row>
    <row r="308" spans="4:6" x14ac:dyDescent="0.25">
      <c r="D308" t="str">
        <f>IFERROR(VLOOKUP(B308,PRODUCTOS!A:B,2,FALSE),"")</f>
        <v/>
      </c>
      <c r="E308" t="e">
        <f t="shared" si="8"/>
        <v>#VALUE!</v>
      </c>
      <c r="F308" t="str">
        <f t="shared" si="9"/>
        <v/>
      </c>
    </row>
    <row r="309" spans="4:6" x14ac:dyDescent="0.25">
      <c r="D309" t="str">
        <f>IFERROR(VLOOKUP(B309,PRODUCTOS!A:B,2,FALSE),"")</f>
        <v/>
      </c>
      <c r="E309" t="e">
        <f t="shared" si="8"/>
        <v>#VALUE!</v>
      </c>
      <c r="F309" t="str">
        <f t="shared" si="9"/>
        <v/>
      </c>
    </row>
    <row r="310" spans="4:6" x14ac:dyDescent="0.25">
      <c r="D310" t="str">
        <f>IFERROR(VLOOKUP(B310,PRODUCTOS!A:B,2,FALSE),"")</f>
        <v/>
      </c>
      <c r="E310" t="e">
        <f t="shared" si="8"/>
        <v>#VALUE!</v>
      </c>
      <c r="F310" t="str">
        <f t="shared" si="9"/>
        <v/>
      </c>
    </row>
    <row r="311" spans="4:6" x14ac:dyDescent="0.25">
      <c r="D311" t="str">
        <f>IFERROR(VLOOKUP(B311,PRODUCTOS!A:B,2,FALSE),"")</f>
        <v/>
      </c>
      <c r="E311" t="e">
        <f t="shared" si="8"/>
        <v>#VALUE!</v>
      </c>
      <c r="F311" t="str">
        <f t="shared" si="9"/>
        <v/>
      </c>
    </row>
    <row r="312" spans="4:6" x14ac:dyDescent="0.25">
      <c r="D312" t="str">
        <f>IFERROR(VLOOKUP(B312,PRODUCTOS!A:B,2,FALSE),"")</f>
        <v/>
      </c>
      <c r="E312" t="e">
        <f t="shared" si="8"/>
        <v>#VALUE!</v>
      </c>
      <c r="F312" t="str">
        <f t="shared" si="9"/>
        <v/>
      </c>
    </row>
    <row r="313" spans="4:6" x14ac:dyDescent="0.25">
      <c r="D313" t="str">
        <f>IFERROR(VLOOKUP(B313,PRODUCTOS!A:B,2,FALSE),"")</f>
        <v/>
      </c>
      <c r="E313" t="e">
        <f t="shared" si="8"/>
        <v>#VALUE!</v>
      </c>
      <c r="F313" t="str">
        <f t="shared" si="9"/>
        <v/>
      </c>
    </row>
    <row r="314" spans="4:6" x14ac:dyDescent="0.25">
      <c r="D314" t="str">
        <f>IFERROR(VLOOKUP(B314,PRODUCTOS!A:B,2,FALSE),"")</f>
        <v/>
      </c>
      <c r="E314" t="e">
        <f t="shared" si="8"/>
        <v>#VALUE!</v>
      </c>
      <c r="F314" t="str">
        <f t="shared" si="9"/>
        <v/>
      </c>
    </row>
    <row r="315" spans="4:6" x14ac:dyDescent="0.25">
      <c r="D315" t="str">
        <f>IFERROR(VLOOKUP(B315,PRODUCTOS!A:B,2,FALSE),"")</f>
        <v/>
      </c>
      <c r="E315" t="e">
        <f t="shared" si="8"/>
        <v>#VALUE!</v>
      </c>
      <c r="F315" t="str">
        <f t="shared" si="9"/>
        <v/>
      </c>
    </row>
    <row r="316" spans="4:6" x14ac:dyDescent="0.25">
      <c r="D316" t="str">
        <f>IFERROR(VLOOKUP(B316,PRODUCTOS!A:B,2,FALSE),"")</f>
        <v/>
      </c>
      <c r="E316" t="e">
        <f t="shared" si="8"/>
        <v>#VALUE!</v>
      </c>
      <c r="F316" t="str">
        <f t="shared" si="9"/>
        <v/>
      </c>
    </row>
    <row r="317" spans="4:6" x14ac:dyDescent="0.25">
      <c r="D317" t="str">
        <f>IFERROR(VLOOKUP(B317,PRODUCTOS!A:B,2,FALSE),"")</f>
        <v/>
      </c>
      <c r="E317" t="e">
        <f t="shared" si="8"/>
        <v>#VALUE!</v>
      </c>
      <c r="F317" t="str">
        <f t="shared" si="9"/>
        <v/>
      </c>
    </row>
    <row r="318" spans="4:6" x14ac:dyDescent="0.25">
      <c r="D318" t="str">
        <f>IFERROR(VLOOKUP(B318,PRODUCTOS!A:B,2,FALSE),"")</f>
        <v/>
      </c>
      <c r="E318" t="e">
        <f t="shared" si="8"/>
        <v>#VALUE!</v>
      </c>
      <c r="F318" t="str">
        <f t="shared" si="9"/>
        <v/>
      </c>
    </row>
    <row r="319" spans="4:6" x14ac:dyDescent="0.25">
      <c r="D319" t="str">
        <f>IFERROR(VLOOKUP(B319,PRODUCTOS!A:B,2,FALSE),"")</f>
        <v/>
      </c>
      <c r="E319" t="e">
        <f t="shared" si="8"/>
        <v>#VALUE!</v>
      </c>
      <c r="F319" t="str">
        <f t="shared" si="9"/>
        <v/>
      </c>
    </row>
    <row r="320" spans="4:6" x14ac:dyDescent="0.25">
      <c r="D320" t="str">
        <f>IFERROR(VLOOKUP(B320,PRODUCTOS!A:B,2,FALSE),"")</f>
        <v/>
      </c>
      <c r="E320" t="e">
        <f t="shared" si="8"/>
        <v>#VALUE!</v>
      </c>
      <c r="F320" t="str">
        <f t="shared" si="9"/>
        <v/>
      </c>
    </row>
    <row r="321" spans="4:6" x14ac:dyDescent="0.25">
      <c r="D321" t="str">
        <f>IFERROR(VLOOKUP(B321,PRODUCTOS!A:B,2,FALSE),"")</f>
        <v/>
      </c>
      <c r="E321" t="e">
        <f t="shared" si="8"/>
        <v>#VALUE!</v>
      </c>
      <c r="F321" t="str">
        <f t="shared" si="9"/>
        <v/>
      </c>
    </row>
    <row r="322" spans="4:6" x14ac:dyDescent="0.25">
      <c r="D322" t="str">
        <f>IFERROR(VLOOKUP(B322,PRODUCTOS!A:B,2,FALSE),"")</f>
        <v/>
      </c>
      <c r="E322" t="e">
        <f t="shared" ref="E322:E385" si="10">C322*D322</f>
        <v>#VALUE!</v>
      </c>
      <c r="F322" t="str">
        <f t="shared" ref="F322:F385" si="11">IF(A322="","",TEXT(A322,"yyyy-mm"))</f>
        <v/>
      </c>
    </row>
    <row r="323" spans="4:6" x14ac:dyDescent="0.25">
      <c r="D323" t="str">
        <f>IFERROR(VLOOKUP(B323,PRODUCTOS!A:B,2,FALSE),"")</f>
        <v/>
      </c>
      <c r="E323" t="e">
        <f t="shared" si="10"/>
        <v>#VALUE!</v>
      </c>
      <c r="F323" t="str">
        <f t="shared" si="11"/>
        <v/>
      </c>
    </row>
    <row r="324" spans="4:6" x14ac:dyDescent="0.25">
      <c r="D324" t="str">
        <f>IFERROR(VLOOKUP(B324,PRODUCTOS!A:B,2,FALSE),"")</f>
        <v/>
      </c>
      <c r="E324" t="e">
        <f t="shared" si="10"/>
        <v>#VALUE!</v>
      </c>
      <c r="F324" t="str">
        <f t="shared" si="11"/>
        <v/>
      </c>
    </row>
    <row r="325" spans="4:6" x14ac:dyDescent="0.25">
      <c r="D325" t="str">
        <f>IFERROR(VLOOKUP(B325,PRODUCTOS!A:B,2,FALSE),"")</f>
        <v/>
      </c>
      <c r="E325" t="e">
        <f t="shared" si="10"/>
        <v>#VALUE!</v>
      </c>
      <c r="F325" t="str">
        <f t="shared" si="11"/>
        <v/>
      </c>
    </row>
    <row r="326" spans="4:6" x14ac:dyDescent="0.25">
      <c r="D326" t="str">
        <f>IFERROR(VLOOKUP(B326,PRODUCTOS!A:B,2,FALSE),"")</f>
        <v/>
      </c>
      <c r="E326" t="e">
        <f t="shared" si="10"/>
        <v>#VALUE!</v>
      </c>
      <c r="F326" t="str">
        <f t="shared" si="11"/>
        <v/>
      </c>
    </row>
    <row r="327" spans="4:6" x14ac:dyDescent="0.25">
      <c r="D327" t="str">
        <f>IFERROR(VLOOKUP(B327,PRODUCTOS!A:B,2,FALSE),"")</f>
        <v/>
      </c>
      <c r="E327" t="e">
        <f t="shared" si="10"/>
        <v>#VALUE!</v>
      </c>
      <c r="F327" t="str">
        <f t="shared" si="11"/>
        <v/>
      </c>
    </row>
    <row r="328" spans="4:6" x14ac:dyDescent="0.25">
      <c r="D328" t="str">
        <f>IFERROR(VLOOKUP(B328,PRODUCTOS!A:B,2,FALSE),"")</f>
        <v/>
      </c>
      <c r="E328" t="e">
        <f t="shared" si="10"/>
        <v>#VALUE!</v>
      </c>
      <c r="F328" t="str">
        <f t="shared" si="11"/>
        <v/>
      </c>
    </row>
    <row r="329" spans="4:6" x14ac:dyDescent="0.25">
      <c r="D329" t="str">
        <f>IFERROR(VLOOKUP(B329,PRODUCTOS!A:B,2,FALSE),"")</f>
        <v/>
      </c>
      <c r="E329" t="e">
        <f t="shared" si="10"/>
        <v>#VALUE!</v>
      </c>
      <c r="F329" t="str">
        <f t="shared" si="11"/>
        <v/>
      </c>
    </row>
    <row r="330" spans="4:6" x14ac:dyDescent="0.25">
      <c r="D330" t="str">
        <f>IFERROR(VLOOKUP(B330,PRODUCTOS!A:B,2,FALSE),"")</f>
        <v/>
      </c>
      <c r="E330" t="e">
        <f t="shared" si="10"/>
        <v>#VALUE!</v>
      </c>
      <c r="F330" t="str">
        <f t="shared" si="11"/>
        <v/>
      </c>
    </row>
    <row r="331" spans="4:6" x14ac:dyDescent="0.25">
      <c r="D331" t="str">
        <f>IFERROR(VLOOKUP(B331,PRODUCTOS!A:B,2,FALSE),"")</f>
        <v/>
      </c>
      <c r="E331" t="e">
        <f t="shared" si="10"/>
        <v>#VALUE!</v>
      </c>
      <c r="F331" t="str">
        <f t="shared" si="11"/>
        <v/>
      </c>
    </row>
    <row r="332" spans="4:6" x14ac:dyDescent="0.25">
      <c r="D332" t="str">
        <f>IFERROR(VLOOKUP(B332,PRODUCTOS!A:B,2,FALSE),"")</f>
        <v/>
      </c>
      <c r="E332" t="e">
        <f t="shared" si="10"/>
        <v>#VALUE!</v>
      </c>
      <c r="F332" t="str">
        <f t="shared" si="11"/>
        <v/>
      </c>
    </row>
    <row r="333" spans="4:6" x14ac:dyDescent="0.25">
      <c r="D333" t="str">
        <f>IFERROR(VLOOKUP(B333,PRODUCTOS!A:B,2,FALSE),"")</f>
        <v/>
      </c>
      <c r="E333" t="e">
        <f t="shared" si="10"/>
        <v>#VALUE!</v>
      </c>
      <c r="F333" t="str">
        <f t="shared" si="11"/>
        <v/>
      </c>
    </row>
    <row r="334" spans="4:6" x14ac:dyDescent="0.25">
      <c r="D334" t="str">
        <f>IFERROR(VLOOKUP(B334,PRODUCTOS!A:B,2,FALSE),"")</f>
        <v/>
      </c>
      <c r="E334" t="e">
        <f t="shared" si="10"/>
        <v>#VALUE!</v>
      </c>
      <c r="F334" t="str">
        <f t="shared" si="11"/>
        <v/>
      </c>
    </row>
    <row r="335" spans="4:6" x14ac:dyDescent="0.25">
      <c r="D335" t="str">
        <f>IFERROR(VLOOKUP(B335,PRODUCTOS!A:B,2,FALSE),"")</f>
        <v/>
      </c>
      <c r="E335" t="e">
        <f t="shared" si="10"/>
        <v>#VALUE!</v>
      </c>
      <c r="F335" t="str">
        <f t="shared" si="11"/>
        <v/>
      </c>
    </row>
    <row r="336" spans="4:6" x14ac:dyDescent="0.25">
      <c r="D336" t="str">
        <f>IFERROR(VLOOKUP(B336,PRODUCTOS!A:B,2,FALSE),"")</f>
        <v/>
      </c>
      <c r="E336" t="e">
        <f t="shared" si="10"/>
        <v>#VALUE!</v>
      </c>
      <c r="F336" t="str">
        <f t="shared" si="11"/>
        <v/>
      </c>
    </row>
    <row r="337" spans="4:6" x14ac:dyDescent="0.25">
      <c r="D337" t="str">
        <f>IFERROR(VLOOKUP(B337,PRODUCTOS!A:B,2,FALSE),"")</f>
        <v/>
      </c>
      <c r="E337" t="e">
        <f t="shared" si="10"/>
        <v>#VALUE!</v>
      </c>
      <c r="F337" t="str">
        <f t="shared" si="11"/>
        <v/>
      </c>
    </row>
    <row r="338" spans="4:6" x14ac:dyDescent="0.25">
      <c r="D338" t="str">
        <f>IFERROR(VLOOKUP(B338,PRODUCTOS!A:B,2,FALSE),"")</f>
        <v/>
      </c>
      <c r="E338" t="e">
        <f t="shared" si="10"/>
        <v>#VALUE!</v>
      </c>
      <c r="F338" t="str">
        <f t="shared" si="11"/>
        <v/>
      </c>
    </row>
    <row r="339" spans="4:6" x14ac:dyDescent="0.25">
      <c r="D339" t="str">
        <f>IFERROR(VLOOKUP(B339,PRODUCTOS!A:B,2,FALSE),"")</f>
        <v/>
      </c>
      <c r="E339" t="e">
        <f t="shared" si="10"/>
        <v>#VALUE!</v>
      </c>
      <c r="F339" t="str">
        <f t="shared" si="11"/>
        <v/>
      </c>
    </row>
    <row r="340" spans="4:6" x14ac:dyDescent="0.25">
      <c r="D340" t="str">
        <f>IFERROR(VLOOKUP(B340,PRODUCTOS!A:B,2,FALSE),"")</f>
        <v/>
      </c>
      <c r="E340" t="e">
        <f t="shared" si="10"/>
        <v>#VALUE!</v>
      </c>
      <c r="F340" t="str">
        <f t="shared" si="11"/>
        <v/>
      </c>
    </row>
    <row r="341" spans="4:6" x14ac:dyDescent="0.25">
      <c r="D341" t="str">
        <f>IFERROR(VLOOKUP(B341,PRODUCTOS!A:B,2,FALSE),"")</f>
        <v/>
      </c>
      <c r="E341" t="e">
        <f t="shared" si="10"/>
        <v>#VALUE!</v>
      </c>
      <c r="F341" t="str">
        <f t="shared" si="11"/>
        <v/>
      </c>
    </row>
    <row r="342" spans="4:6" x14ac:dyDescent="0.25">
      <c r="D342" t="str">
        <f>IFERROR(VLOOKUP(B342,PRODUCTOS!A:B,2,FALSE),"")</f>
        <v/>
      </c>
      <c r="E342" t="e">
        <f t="shared" si="10"/>
        <v>#VALUE!</v>
      </c>
      <c r="F342" t="str">
        <f t="shared" si="11"/>
        <v/>
      </c>
    </row>
    <row r="343" spans="4:6" x14ac:dyDescent="0.25">
      <c r="D343" t="str">
        <f>IFERROR(VLOOKUP(B343,PRODUCTOS!A:B,2,FALSE),"")</f>
        <v/>
      </c>
      <c r="E343" t="e">
        <f t="shared" si="10"/>
        <v>#VALUE!</v>
      </c>
      <c r="F343" t="str">
        <f t="shared" si="11"/>
        <v/>
      </c>
    </row>
    <row r="344" spans="4:6" x14ac:dyDescent="0.25">
      <c r="D344" t="str">
        <f>IFERROR(VLOOKUP(B344,PRODUCTOS!A:B,2,FALSE),"")</f>
        <v/>
      </c>
      <c r="E344" t="e">
        <f t="shared" si="10"/>
        <v>#VALUE!</v>
      </c>
      <c r="F344" t="str">
        <f t="shared" si="11"/>
        <v/>
      </c>
    </row>
    <row r="345" spans="4:6" x14ac:dyDescent="0.25">
      <c r="D345" t="str">
        <f>IFERROR(VLOOKUP(B345,PRODUCTOS!A:B,2,FALSE),"")</f>
        <v/>
      </c>
      <c r="E345" t="e">
        <f t="shared" si="10"/>
        <v>#VALUE!</v>
      </c>
      <c r="F345" t="str">
        <f t="shared" si="11"/>
        <v/>
      </c>
    </row>
    <row r="346" spans="4:6" x14ac:dyDescent="0.25">
      <c r="D346" t="str">
        <f>IFERROR(VLOOKUP(B346,PRODUCTOS!A:B,2,FALSE),"")</f>
        <v/>
      </c>
      <c r="E346" t="e">
        <f t="shared" si="10"/>
        <v>#VALUE!</v>
      </c>
      <c r="F346" t="str">
        <f t="shared" si="11"/>
        <v/>
      </c>
    </row>
    <row r="347" spans="4:6" x14ac:dyDescent="0.25">
      <c r="D347" t="str">
        <f>IFERROR(VLOOKUP(B347,PRODUCTOS!A:B,2,FALSE),"")</f>
        <v/>
      </c>
      <c r="E347" t="e">
        <f t="shared" si="10"/>
        <v>#VALUE!</v>
      </c>
      <c r="F347" t="str">
        <f t="shared" si="11"/>
        <v/>
      </c>
    </row>
    <row r="348" spans="4:6" x14ac:dyDescent="0.25">
      <c r="D348" t="str">
        <f>IFERROR(VLOOKUP(B348,PRODUCTOS!A:B,2,FALSE),"")</f>
        <v/>
      </c>
      <c r="E348" t="e">
        <f t="shared" si="10"/>
        <v>#VALUE!</v>
      </c>
      <c r="F348" t="str">
        <f t="shared" si="11"/>
        <v/>
      </c>
    </row>
    <row r="349" spans="4:6" x14ac:dyDescent="0.25">
      <c r="D349" t="str">
        <f>IFERROR(VLOOKUP(B349,PRODUCTOS!A:B,2,FALSE),"")</f>
        <v/>
      </c>
      <c r="E349" t="e">
        <f t="shared" si="10"/>
        <v>#VALUE!</v>
      </c>
      <c r="F349" t="str">
        <f t="shared" si="11"/>
        <v/>
      </c>
    </row>
    <row r="350" spans="4:6" x14ac:dyDescent="0.25">
      <c r="D350" t="str">
        <f>IFERROR(VLOOKUP(B350,PRODUCTOS!A:B,2,FALSE),"")</f>
        <v/>
      </c>
      <c r="E350" t="e">
        <f t="shared" si="10"/>
        <v>#VALUE!</v>
      </c>
      <c r="F350" t="str">
        <f t="shared" si="11"/>
        <v/>
      </c>
    </row>
    <row r="351" spans="4:6" x14ac:dyDescent="0.25">
      <c r="D351" t="str">
        <f>IFERROR(VLOOKUP(B351,PRODUCTOS!A:B,2,FALSE),"")</f>
        <v/>
      </c>
      <c r="E351" t="e">
        <f t="shared" si="10"/>
        <v>#VALUE!</v>
      </c>
      <c r="F351" t="str">
        <f t="shared" si="11"/>
        <v/>
      </c>
    </row>
    <row r="352" spans="4:6" x14ac:dyDescent="0.25">
      <c r="D352" t="str">
        <f>IFERROR(VLOOKUP(B352,PRODUCTOS!A:B,2,FALSE),"")</f>
        <v/>
      </c>
      <c r="E352" t="e">
        <f t="shared" si="10"/>
        <v>#VALUE!</v>
      </c>
      <c r="F352" t="str">
        <f t="shared" si="11"/>
        <v/>
      </c>
    </row>
    <row r="353" spans="4:6" x14ac:dyDescent="0.25">
      <c r="D353" t="str">
        <f>IFERROR(VLOOKUP(B353,PRODUCTOS!A:B,2,FALSE),"")</f>
        <v/>
      </c>
      <c r="E353" t="e">
        <f t="shared" si="10"/>
        <v>#VALUE!</v>
      </c>
      <c r="F353" t="str">
        <f t="shared" si="11"/>
        <v/>
      </c>
    </row>
    <row r="354" spans="4:6" x14ac:dyDescent="0.25">
      <c r="D354" t="str">
        <f>IFERROR(VLOOKUP(B354,PRODUCTOS!A:B,2,FALSE),"")</f>
        <v/>
      </c>
      <c r="E354" t="e">
        <f t="shared" si="10"/>
        <v>#VALUE!</v>
      </c>
      <c r="F354" t="str">
        <f t="shared" si="11"/>
        <v/>
      </c>
    </row>
    <row r="355" spans="4:6" x14ac:dyDescent="0.25">
      <c r="D355" t="str">
        <f>IFERROR(VLOOKUP(B355,PRODUCTOS!A:B,2,FALSE),"")</f>
        <v/>
      </c>
      <c r="E355" t="e">
        <f t="shared" si="10"/>
        <v>#VALUE!</v>
      </c>
      <c r="F355" t="str">
        <f t="shared" si="11"/>
        <v/>
      </c>
    </row>
    <row r="356" spans="4:6" x14ac:dyDescent="0.25">
      <c r="D356" t="str">
        <f>IFERROR(VLOOKUP(B356,PRODUCTOS!A:B,2,FALSE),"")</f>
        <v/>
      </c>
      <c r="E356" t="e">
        <f t="shared" si="10"/>
        <v>#VALUE!</v>
      </c>
      <c r="F356" t="str">
        <f t="shared" si="11"/>
        <v/>
      </c>
    </row>
    <row r="357" spans="4:6" x14ac:dyDescent="0.25">
      <c r="D357" t="str">
        <f>IFERROR(VLOOKUP(B357,PRODUCTOS!A:B,2,FALSE),"")</f>
        <v/>
      </c>
      <c r="E357" t="e">
        <f t="shared" si="10"/>
        <v>#VALUE!</v>
      </c>
      <c r="F357" t="str">
        <f t="shared" si="11"/>
        <v/>
      </c>
    </row>
    <row r="358" spans="4:6" x14ac:dyDescent="0.25">
      <c r="D358" t="str">
        <f>IFERROR(VLOOKUP(B358,PRODUCTOS!A:B,2,FALSE),"")</f>
        <v/>
      </c>
      <c r="E358" t="e">
        <f t="shared" si="10"/>
        <v>#VALUE!</v>
      </c>
      <c r="F358" t="str">
        <f t="shared" si="11"/>
        <v/>
      </c>
    </row>
    <row r="359" spans="4:6" x14ac:dyDescent="0.25">
      <c r="D359" t="str">
        <f>IFERROR(VLOOKUP(B359,PRODUCTOS!A:B,2,FALSE),"")</f>
        <v/>
      </c>
      <c r="E359" t="e">
        <f t="shared" si="10"/>
        <v>#VALUE!</v>
      </c>
      <c r="F359" t="str">
        <f t="shared" si="11"/>
        <v/>
      </c>
    </row>
    <row r="360" spans="4:6" x14ac:dyDescent="0.25">
      <c r="D360" t="str">
        <f>IFERROR(VLOOKUP(B360,PRODUCTOS!A:B,2,FALSE),"")</f>
        <v/>
      </c>
      <c r="E360" t="e">
        <f t="shared" si="10"/>
        <v>#VALUE!</v>
      </c>
      <c r="F360" t="str">
        <f t="shared" si="11"/>
        <v/>
      </c>
    </row>
    <row r="361" spans="4:6" x14ac:dyDescent="0.25">
      <c r="D361" t="str">
        <f>IFERROR(VLOOKUP(B361,PRODUCTOS!A:B,2,FALSE),"")</f>
        <v/>
      </c>
      <c r="E361" t="e">
        <f t="shared" si="10"/>
        <v>#VALUE!</v>
      </c>
      <c r="F361" t="str">
        <f t="shared" si="11"/>
        <v/>
      </c>
    </row>
    <row r="362" spans="4:6" x14ac:dyDescent="0.25">
      <c r="D362" t="str">
        <f>IFERROR(VLOOKUP(B362,PRODUCTOS!A:B,2,FALSE),"")</f>
        <v/>
      </c>
      <c r="E362" t="e">
        <f t="shared" si="10"/>
        <v>#VALUE!</v>
      </c>
      <c r="F362" t="str">
        <f t="shared" si="11"/>
        <v/>
      </c>
    </row>
    <row r="363" spans="4:6" x14ac:dyDescent="0.25">
      <c r="D363" t="str">
        <f>IFERROR(VLOOKUP(B363,PRODUCTOS!A:B,2,FALSE),"")</f>
        <v/>
      </c>
      <c r="E363" t="e">
        <f t="shared" si="10"/>
        <v>#VALUE!</v>
      </c>
      <c r="F363" t="str">
        <f t="shared" si="11"/>
        <v/>
      </c>
    </row>
    <row r="364" spans="4:6" x14ac:dyDescent="0.25">
      <c r="D364" t="str">
        <f>IFERROR(VLOOKUP(B364,PRODUCTOS!A:B,2,FALSE),"")</f>
        <v/>
      </c>
      <c r="E364" t="e">
        <f t="shared" si="10"/>
        <v>#VALUE!</v>
      </c>
      <c r="F364" t="str">
        <f t="shared" si="11"/>
        <v/>
      </c>
    </row>
    <row r="365" spans="4:6" x14ac:dyDescent="0.25">
      <c r="D365" t="str">
        <f>IFERROR(VLOOKUP(B365,PRODUCTOS!A:B,2,FALSE),"")</f>
        <v/>
      </c>
      <c r="E365" t="e">
        <f t="shared" si="10"/>
        <v>#VALUE!</v>
      </c>
      <c r="F365" t="str">
        <f t="shared" si="11"/>
        <v/>
      </c>
    </row>
    <row r="366" spans="4:6" x14ac:dyDescent="0.25">
      <c r="D366" t="str">
        <f>IFERROR(VLOOKUP(B366,PRODUCTOS!A:B,2,FALSE),"")</f>
        <v/>
      </c>
      <c r="E366" t="e">
        <f t="shared" si="10"/>
        <v>#VALUE!</v>
      </c>
      <c r="F366" t="str">
        <f t="shared" si="11"/>
        <v/>
      </c>
    </row>
    <row r="367" spans="4:6" x14ac:dyDescent="0.25">
      <c r="D367" t="str">
        <f>IFERROR(VLOOKUP(B367,PRODUCTOS!A:B,2,FALSE),"")</f>
        <v/>
      </c>
      <c r="E367" t="e">
        <f t="shared" si="10"/>
        <v>#VALUE!</v>
      </c>
      <c r="F367" t="str">
        <f t="shared" si="11"/>
        <v/>
      </c>
    </row>
    <row r="368" spans="4:6" x14ac:dyDescent="0.25">
      <c r="D368" t="str">
        <f>IFERROR(VLOOKUP(B368,PRODUCTOS!A:B,2,FALSE),"")</f>
        <v/>
      </c>
      <c r="E368" t="e">
        <f t="shared" si="10"/>
        <v>#VALUE!</v>
      </c>
      <c r="F368" t="str">
        <f t="shared" si="11"/>
        <v/>
      </c>
    </row>
    <row r="369" spans="4:6" x14ac:dyDescent="0.25">
      <c r="D369" t="str">
        <f>IFERROR(VLOOKUP(B369,PRODUCTOS!A:B,2,FALSE),"")</f>
        <v/>
      </c>
      <c r="E369" t="e">
        <f t="shared" si="10"/>
        <v>#VALUE!</v>
      </c>
      <c r="F369" t="str">
        <f t="shared" si="11"/>
        <v/>
      </c>
    </row>
    <row r="370" spans="4:6" x14ac:dyDescent="0.25">
      <c r="D370" t="str">
        <f>IFERROR(VLOOKUP(B370,PRODUCTOS!A:B,2,FALSE),"")</f>
        <v/>
      </c>
      <c r="E370" t="e">
        <f t="shared" si="10"/>
        <v>#VALUE!</v>
      </c>
      <c r="F370" t="str">
        <f t="shared" si="11"/>
        <v/>
      </c>
    </row>
    <row r="371" spans="4:6" x14ac:dyDescent="0.25">
      <c r="D371" t="str">
        <f>IFERROR(VLOOKUP(B371,PRODUCTOS!A:B,2,FALSE),"")</f>
        <v/>
      </c>
      <c r="E371" t="e">
        <f t="shared" si="10"/>
        <v>#VALUE!</v>
      </c>
      <c r="F371" t="str">
        <f t="shared" si="11"/>
        <v/>
      </c>
    </row>
    <row r="372" spans="4:6" x14ac:dyDescent="0.25">
      <c r="D372" t="str">
        <f>IFERROR(VLOOKUP(B372,PRODUCTOS!A:B,2,FALSE),"")</f>
        <v/>
      </c>
      <c r="E372" t="e">
        <f t="shared" si="10"/>
        <v>#VALUE!</v>
      </c>
      <c r="F372" t="str">
        <f t="shared" si="11"/>
        <v/>
      </c>
    </row>
    <row r="373" spans="4:6" x14ac:dyDescent="0.25">
      <c r="D373" t="str">
        <f>IFERROR(VLOOKUP(B373,PRODUCTOS!A:B,2,FALSE),"")</f>
        <v/>
      </c>
      <c r="E373" t="e">
        <f t="shared" si="10"/>
        <v>#VALUE!</v>
      </c>
      <c r="F373" t="str">
        <f t="shared" si="11"/>
        <v/>
      </c>
    </row>
    <row r="374" spans="4:6" x14ac:dyDescent="0.25">
      <c r="D374" t="str">
        <f>IFERROR(VLOOKUP(B374,PRODUCTOS!A:B,2,FALSE),"")</f>
        <v/>
      </c>
      <c r="E374" t="e">
        <f t="shared" si="10"/>
        <v>#VALUE!</v>
      </c>
      <c r="F374" t="str">
        <f t="shared" si="11"/>
        <v/>
      </c>
    </row>
    <row r="375" spans="4:6" x14ac:dyDescent="0.25">
      <c r="D375" t="str">
        <f>IFERROR(VLOOKUP(B375,PRODUCTOS!A:B,2,FALSE),"")</f>
        <v/>
      </c>
      <c r="E375" t="e">
        <f t="shared" si="10"/>
        <v>#VALUE!</v>
      </c>
      <c r="F375" t="str">
        <f t="shared" si="11"/>
        <v/>
      </c>
    </row>
    <row r="376" spans="4:6" x14ac:dyDescent="0.25">
      <c r="D376" t="str">
        <f>IFERROR(VLOOKUP(B376,PRODUCTOS!A:B,2,FALSE),"")</f>
        <v/>
      </c>
      <c r="E376" t="e">
        <f t="shared" si="10"/>
        <v>#VALUE!</v>
      </c>
      <c r="F376" t="str">
        <f t="shared" si="11"/>
        <v/>
      </c>
    </row>
    <row r="377" spans="4:6" x14ac:dyDescent="0.25">
      <c r="D377" t="str">
        <f>IFERROR(VLOOKUP(B377,PRODUCTOS!A:B,2,FALSE),"")</f>
        <v/>
      </c>
      <c r="E377" t="e">
        <f t="shared" si="10"/>
        <v>#VALUE!</v>
      </c>
      <c r="F377" t="str">
        <f t="shared" si="11"/>
        <v/>
      </c>
    </row>
    <row r="378" spans="4:6" x14ac:dyDescent="0.25">
      <c r="D378" t="str">
        <f>IFERROR(VLOOKUP(B378,PRODUCTOS!A:B,2,FALSE),"")</f>
        <v/>
      </c>
      <c r="E378" t="e">
        <f t="shared" si="10"/>
        <v>#VALUE!</v>
      </c>
      <c r="F378" t="str">
        <f t="shared" si="11"/>
        <v/>
      </c>
    </row>
    <row r="379" spans="4:6" x14ac:dyDescent="0.25">
      <c r="D379" t="str">
        <f>IFERROR(VLOOKUP(B379,PRODUCTOS!A:B,2,FALSE),"")</f>
        <v/>
      </c>
      <c r="E379" t="e">
        <f t="shared" si="10"/>
        <v>#VALUE!</v>
      </c>
      <c r="F379" t="str">
        <f t="shared" si="11"/>
        <v/>
      </c>
    </row>
    <row r="380" spans="4:6" x14ac:dyDescent="0.25">
      <c r="D380" t="str">
        <f>IFERROR(VLOOKUP(B380,PRODUCTOS!A:B,2,FALSE),"")</f>
        <v/>
      </c>
      <c r="E380" t="e">
        <f t="shared" si="10"/>
        <v>#VALUE!</v>
      </c>
      <c r="F380" t="str">
        <f t="shared" si="11"/>
        <v/>
      </c>
    </row>
    <row r="381" spans="4:6" x14ac:dyDescent="0.25">
      <c r="D381" t="str">
        <f>IFERROR(VLOOKUP(B381,PRODUCTOS!A:B,2,FALSE),"")</f>
        <v/>
      </c>
      <c r="E381" t="e">
        <f t="shared" si="10"/>
        <v>#VALUE!</v>
      </c>
      <c r="F381" t="str">
        <f t="shared" si="11"/>
        <v/>
      </c>
    </row>
    <row r="382" spans="4:6" x14ac:dyDescent="0.25">
      <c r="D382" t="str">
        <f>IFERROR(VLOOKUP(B382,PRODUCTOS!A:B,2,FALSE),"")</f>
        <v/>
      </c>
      <c r="E382" t="e">
        <f t="shared" si="10"/>
        <v>#VALUE!</v>
      </c>
      <c r="F382" t="str">
        <f t="shared" si="11"/>
        <v/>
      </c>
    </row>
    <row r="383" spans="4:6" x14ac:dyDescent="0.25">
      <c r="D383" t="str">
        <f>IFERROR(VLOOKUP(B383,PRODUCTOS!A:B,2,FALSE),"")</f>
        <v/>
      </c>
      <c r="E383" t="e">
        <f t="shared" si="10"/>
        <v>#VALUE!</v>
      </c>
      <c r="F383" t="str">
        <f t="shared" si="11"/>
        <v/>
      </c>
    </row>
    <row r="384" spans="4:6" x14ac:dyDescent="0.25">
      <c r="D384" t="str">
        <f>IFERROR(VLOOKUP(B384,PRODUCTOS!A:B,2,FALSE),"")</f>
        <v/>
      </c>
      <c r="E384" t="e">
        <f t="shared" si="10"/>
        <v>#VALUE!</v>
      </c>
      <c r="F384" t="str">
        <f t="shared" si="11"/>
        <v/>
      </c>
    </row>
    <row r="385" spans="4:6" x14ac:dyDescent="0.25">
      <c r="D385" t="str">
        <f>IFERROR(VLOOKUP(B385,PRODUCTOS!A:B,2,FALSE),"")</f>
        <v/>
      </c>
      <c r="E385" t="e">
        <f t="shared" si="10"/>
        <v>#VALUE!</v>
      </c>
      <c r="F385" t="str">
        <f t="shared" si="11"/>
        <v/>
      </c>
    </row>
    <row r="386" spans="4:6" x14ac:dyDescent="0.25">
      <c r="D386" t="str">
        <f>IFERROR(VLOOKUP(B386,PRODUCTOS!A:B,2,FALSE),"")</f>
        <v/>
      </c>
      <c r="E386" t="e">
        <f t="shared" ref="E386:E449" si="12">C386*D386</f>
        <v>#VALUE!</v>
      </c>
      <c r="F386" t="str">
        <f t="shared" ref="F386:F449" si="13">IF(A386="","",TEXT(A386,"yyyy-mm"))</f>
        <v/>
      </c>
    </row>
    <row r="387" spans="4:6" x14ac:dyDescent="0.25">
      <c r="D387" t="str">
        <f>IFERROR(VLOOKUP(B387,PRODUCTOS!A:B,2,FALSE),"")</f>
        <v/>
      </c>
      <c r="E387" t="e">
        <f t="shared" si="12"/>
        <v>#VALUE!</v>
      </c>
      <c r="F387" t="str">
        <f t="shared" si="13"/>
        <v/>
      </c>
    </row>
    <row r="388" spans="4:6" x14ac:dyDescent="0.25">
      <c r="D388" t="str">
        <f>IFERROR(VLOOKUP(B388,PRODUCTOS!A:B,2,FALSE),"")</f>
        <v/>
      </c>
      <c r="E388" t="e">
        <f t="shared" si="12"/>
        <v>#VALUE!</v>
      </c>
      <c r="F388" t="str">
        <f t="shared" si="13"/>
        <v/>
      </c>
    </row>
    <row r="389" spans="4:6" x14ac:dyDescent="0.25">
      <c r="D389" t="str">
        <f>IFERROR(VLOOKUP(B389,PRODUCTOS!A:B,2,FALSE),"")</f>
        <v/>
      </c>
      <c r="E389" t="e">
        <f t="shared" si="12"/>
        <v>#VALUE!</v>
      </c>
      <c r="F389" t="str">
        <f t="shared" si="13"/>
        <v/>
      </c>
    </row>
    <row r="390" spans="4:6" x14ac:dyDescent="0.25">
      <c r="D390" t="str">
        <f>IFERROR(VLOOKUP(B390,PRODUCTOS!A:B,2,FALSE),"")</f>
        <v/>
      </c>
      <c r="E390" t="e">
        <f t="shared" si="12"/>
        <v>#VALUE!</v>
      </c>
      <c r="F390" t="str">
        <f t="shared" si="13"/>
        <v/>
      </c>
    </row>
    <row r="391" spans="4:6" x14ac:dyDescent="0.25">
      <c r="D391" t="str">
        <f>IFERROR(VLOOKUP(B391,PRODUCTOS!A:B,2,FALSE),"")</f>
        <v/>
      </c>
      <c r="E391" t="e">
        <f t="shared" si="12"/>
        <v>#VALUE!</v>
      </c>
      <c r="F391" t="str">
        <f t="shared" si="13"/>
        <v/>
      </c>
    </row>
    <row r="392" spans="4:6" x14ac:dyDescent="0.25">
      <c r="D392" t="str">
        <f>IFERROR(VLOOKUP(B392,PRODUCTOS!A:B,2,FALSE),"")</f>
        <v/>
      </c>
      <c r="E392" t="e">
        <f t="shared" si="12"/>
        <v>#VALUE!</v>
      </c>
      <c r="F392" t="str">
        <f t="shared" si="13"/>
        <v/>
      </c>
    </row>
    <row r="393" spans="4:6" x14ac:dyDescent="0.25">
      <c r="D393" t="str">
        <f>IFERROR(VLOOKUP(B393,PRODUCTOS!A:B,2,FALSE),"")</f>
        <v/>
      </c>
      <c r="E393" t="e">
        <f t="shared" si="12"/>
        <v>#VALUE!</v>
      </c>
      <c r="F393" t="str">
        <f t="shared" si="13"/>
        <v/>
      </c>
    </row>
    <row r="394" spans="4:6" x14ac:dyDescent="0.25">
      <c r="D394" t="str">
        <f>IFERROR(VLOOKUP(B394,PRODUCTOS!A:B,2,FALSE),"")</f>
        <v/>
      </c>
      <c r="E394" t="e">
        <f t="shared" si="12"/>
        <v>#VALUE!</v>
      </c>
      <c r="F394" t="str">
        <f t="shared" si="13"/>
        <v/>
      </c>
    </row>
    <row r="395" spans="4:6" x14ac:dyDescent="0.25">
      <c r="D395" t="str">
        <f>IFERROR(VLOOKUP(B395,PRODUCTOS!A:B,2,FALSE),"")</f>
        <v/>
      </c>
      <c r="E395" t="e">
        <f t="shared" si="12"/>
        <v>#VALUE!</v>
      </c>
      <c r="F395" t="str">
        <f t="shared" si="13"/>
        <v/>
      </c>
    </row>
    <row r="396" spans="4:6" x14ac:dyDescent="0.25">
      <c r="D396" t="str">
        <f>IFERROR(VLOOKUP(B396,PRODUCTOS!A:B,2,FALSE),"")</f>
        <v/>
      </c>
      <c r="E396" t="e">
        <f t="shared" si="12"/>
        <v>#VALUE!</v>
      </c>
      <c r="F396" t="str">
        <f t="shared" si="13"/>
        <v/>
      </c>
    </row>
    <row r="397" spans="4:6" x14ac:dyDescent="0.25">
      <c r="D397" t="str">
        <f>IFERROR(VLOOKUP(B397,PRODUCTOS!A:B,2,FALSE),"")</f>
        <v/>
      </c>
      <c r="E397" t="e">
        <f t="shared" si="12"/>
        <v>#VALUE!</v>
      </c>
      <c r="F397" t="str">
        <f t="shared" si="13"/>
        <v/>
      </c>
    </row>
    <row r="398" spans="4:6" x14ac:dyDescent="0.25">
      <c r="D398" t="str">
        <f>IFERROR(VLOOKUP(B398,PRODUCTOS!A:B,2,FALSE),"")</f>
        <v/>
      </c>
      <c r="E398" t="e">
        <f t="shared" si="12"/>
        <v>#VALUE!</v>
      </c>
      <c r="F398" t="str">
        <f t="shared" si="13"/>
        <v/>
      </c>
    </row>
    <row r="399" spans="4:6" x14ac:dyDescent="0.25">
      <c r="D399" t="str">
        <f>IFERROR(VLOOKUP(B399,PRODUCTOS!A:B,2,FALSE),"")</f>
        <v/>
      </c>
      <c r="E399" t="e">
        <f t="shared" si="12"/>
        <v>#VALUE!</v>
      </c>
      <c r="F399" t="str">
        <f t="shared" si="13"/>
        <v/>
      </c>
    </row>
    <row r="400" spans="4:6" x14ac:dyDescent="0.25">
      <c r="D400" t="str">
        <f>IFERROR(VLOOKUP(B400,PRODUCTOS!A:B,2,FALSE),"")</f>
        <v/>
      </c>
      <c r="E400" t="e">
        <f t="shared" si="12"/>
        <v>#VALUE!</v>
      </c>
      <c r="F400" t="str">
        <f t="shared" si="13"/>
        <v/>
      </c>
    </row>
    <row r="401" spans="4:6" x14ac:dyDescent="0.25">
      <c r="D401" t="str">
        <f>IFERROR(VLOOKUP(B401,PRODUCTOS!A:B,2,FALSE),"")</f>
        <v/>
      </c>
      <c r="E401" t="e">
        <f t="shared" si="12"/>
        <v>#VALUE!</v>
      </c>
      <c r="F401" t="str">
        <f t="shared" si="13"/>
        <v/>
      </c>
    </row>
    <row r="402" spans="4:6" x14ac:dyDescent="0.25">
      <c r="D402" t="str">
        <f>IFERROR(VLOOKUP(B402,PRODUCTOS!A:B,2,FALSE),"")</f>
        <v/>
      </c>
      <c r="E402" t="e">
        <f t="shared" si="12"/>
        <v>#VALUE!</v>
      </c>
      <c r="F402" t="str">
        <f t="shared" si="13"/>
        <v/>
      </c>
    </row>
    <row r="403" spans="4:6" x14ac:dyDescent="0.25">
      <c r="D403" t="str">
        <f>IFERROR(VLOOKUP(B403,PRODUCTOS!A:B,2,FALSE),"")</f>
        <v/>
      </c>
      <c r="E403" t="e">
        <f t="shared" si="12"/>
        <v>#VALUE!</v>
      </c>
      <c r="F403" t="str">
        <f t="shared" si="13"/>
        <v/>
      </c>
    </row>
    <row r="404" spans="4:6" x14ac:dyDescent="0.25">
      <c r="D404" t="str">
        <f>IFERROR(VLOOKUP(B404,PRODUCTOS!A:B,2,FALSE),"")</f>
        <v/>
      </c>
      <c r="E404" t="e">
        <f t="shared" si="12"/>
        <v>#VALUE!</v>
      </c>
      <c r="F404" t="str">
        <f t="shared" si="13"/>
        <v/>
      </c>
    </row>
    <row r="405" spans="4:6" x14ac:dyDescent="0.25">
      <c r="D405" t="str">
        <f>IFERROR(VLOOKUP(B405,PRODUCTOS!A:B,2,FALSE),"")</f>
        <v/>
      </c>
      <c r="E405" t="e">
        <f t="shared" si="12"/>
        <v>#VALUE!</v>
      </c>
      <c r="F405" t="str">
        <f t="shared" si="13"/>
        <v/>
      </c>
    </row>
    <row r="406" spans="4:6" x14ac:dyDescent="0.25">
      <c r="D406" t="str">
        <f>IFERROR(VLOOKUP(B406,PRODUCTOS!A:B,2,FALSE),"")</f>
        <v/>
      </c>
      <c r="E406" t="e">
        <f t="shared" si="12"/>
        <v>#VALUE!</v>
      </c>
      <c r="F406" t="str">
        <f t="shared" si="13"/>
        <v/>
      </c>
    </row>
    <row r="407" spans="4:6" x14ac:dyDescent="0.25">
      <c r="D407" t="str">
        <f>IFERROR(VLOOKUP(B407,PRODUCTOS!A:B,2,FALSE),"")</f>
        <v/>
      </c>
      <c r="E407" t="e">
        <f t="shared" si="12"/>
        <v>#VALUE!</v>
      </c>
      <c r="F407" t="str">
        <f t="shared" si="13"/>
        <v/>
      </c>
    </row>
    <row r="408" spans="4:6" x14ac:dyDescent="0.25">
      <c r="D408" t="str">
        <f>IFERROR(VLOOKUP(B408,PRODUCTOS!A:B,2,FALSE),"")</f>
        <v/>
      </c>
      <c r="E408" t="e">
        <f t="shared" si="12"/>
        <v>#VALUE!</v>
      </c>
      <c r="F408" t="str">
        <f t="shared" si="13"/>
        <v/>
      </c>
    </row>
    <row r="409" spans="4:6" x14ac:dyDescent="0.25">
      <c r="D409" t="str">
        <f>IFERROR(VLOOKUP(B409,PRODUCTOS!A:B,2,FALSE),"")</f>
        <v/>
      </c>
      <c r="E409" t="e">
        <f t="shared" si="12"/>
        <v>#VALUE!</v>
      </c>
      <c r="F409" t="str">
        <f t="shared" si="13"/>
        <v/>
      </c>
    </row>
    <row r="410" spans="4:6" x14ac:dyDescent="0.25">
      <c r="D410" t="str">
        <f>IFERROR(VLOOKUP(B410,PRODUCTOS!A:B,2,FALSE),"")</f>
        <v/>
      </c>
      <c r="E410" t="e">
        <f t="shared" si="12"/>
        <v>#VALUE!</v>
      </c>
      <c r="F410" t="str">
        <f t="shared" si="13"/>
        <v/>
      </c>
    </row>
    <row r="411" spans="4:6" x14ac:dyDescent="0.25">
      <c r="D411" t="str">
        <f>IFERROR(VLOOKUP(B411,PRODUCTOS!A:B,2,FALSE),"")</f>
        <v/>
      </c>
      <c r="E411" t="e">
        <f t="shared" si="12"/>
        <v>#VALUE!</v>
      </c>
      <c r="F411" t="str">
        <f t="shared" si="13"/>
        <v/>
      </c>
    </row>
    <row r="412" spans="4:6" x14ac:dyDescent="0.25">
      <c r="D412" t="str">
        <f>IFERROR(VLOOKUP(B412,PRODUCTOS!A:B,2,FALSE),"")</f>
        <v/>
      </c>
      <c r="E412" t="e">
        <f t="shared" si="12"/>
        <v>#VALUE!</v>
      </c>
      <c r="F412" t="str">
        <f t="shared" si="13"/>
        <v/>
      </c>
    </row>
    <row r="413" spans="4:6" x14ac:dyDescent="0.25">
      <c r="D413" t="str">
        <f>IFERROR(VLOOKUP(B413,PRODUCTOS!A:B,2,FALSE),"")</f>
        <v/>
      </c>
      <c r="E413" t="e">
        <f t="shared" si="12"/>
        <v>#VALUE!</v>
      </c>
      <c r="F413" t="str">
        <f t="shared" si="13"/>
        <v/>
      </c>
    </row>
    <row r="414" spans="4:6" x14ac:dyDescent="0.25">
      <c r="D414" t="str">
        <f>IFERROR(VLOOKUP(B414,PRODUCTOS!A:B,2,FALSE),"")</f>
        <v/>
      </c>
      <c r="E414" t="e">
        <f t="shared" si="12"/>
        <v>#VALUE!</v>
      </c>
      <c r="F414" t="str">
        <f t="shared" si="13"/>
        <v/>
      </c>
    </row>
    <row r="415" spans="4:6" x14ac:dyDescent="0.25">
      <c r="D415" t="str">
        <f>IFERROR(VLOOKUP(B415,PRODUCTOS!A:B,2,FALSE),"")</f>
        <v/>
      </c>
      <c r="E415" t="e">
        <f t="shared" si="12"/>
        <v>#VALUE!</v>
      </c>
      <c r="F415" t="str">
        <f t="shared" si="13"/>
        <v/>
      </c>
    </row>
    <row r="416" spans="4:6" x14ac:dyDescent="0.25">
      <c r="D416" t="str">
        <f>IFERROR(VLOOKUP(B416,PRODUCTOS!A:B,2,FALSE),"")</f>
        <v/>
      </c>
      <c r="E416" t="e">
        <f t="shared" si="12"/>
        <v>#VALUE!</v>
      </c>
      <c r="F416" t="str">
        <f t="shared" si="13"/>
        <v/>
      </c>
    </row>
    <row r="417" spans="4:6" x14ac:dyDescent="0.25">
      <c r="D417" t="str">
        <f>IFERROR(VLOOKUP(B417,PRODUCTOS!A:B,2,FALSE),"")</f>
        <v/>
      </c>
      <c r="E417" t="e">
        <f t="shared" si="12"/>
        <v>#VALUE!</v>
      </c>
      <c r="F417" t="str">
        <f t="shared" si="13"/>
        <v/>
      </c>
    </row>
    <row r="418" spans="4:6" x14ac:dyDescent="0.25">
      <c r="D418" t="str">
        <f>IFERROR(VLOOKUP(B418,PRODUCTOS!A:B,2,FALSE),"")</f>
        <v/>
      </c>
      <c r="E418" t="e">
        <f t="shared" si="12"/>
        <v>#VALUE!</v>
      </c>
      <c r="F418" t="str">
        <f t="shared" si="13"/>
        <v/>
      </c>
    </row>
    <row r="419" spans="4:6" x14ac:dyDescent="0.25">
      <c r="D419" t="str">
        <f>IFERROR(VLOOKUP(B419,PRODUCTOS!A:B,2,FALSE),"")</f>
        <v/>
      </c>
      <c r="E419" t="e">
        <f t="shared" si="12"/>
        <v>#VALUE!</v>
      </c>
      <c r="F419" t="str">
        <f t="shared" si="13"/>
        <v/>
      </c>
    </row>
    <row r="420" spans="4:6" x14ac:dyDescent="0.25">
      <c r="D420" t="str">
        <f>IFERROR(VLOOKUP(B420,PRODUCTOS!A:B,2,FALSE),"")</f>
        <v/>
      </c>
      <c r="E420" t="e">
        <f t="shared" si="12"/>
        <v>#VALUE!</v>
      </c>
      <c r="F420" t="str">
        <f t="shared" si="13"/>
        <v/>
      </c>
    </row>
    <row r="421" spans="4:6" x14ac:dyDescent="0.25">
      <c r="D421" t="str">
        <f>IFERROR(VLOOKUP(B421,PRODUCTOS!A:B,2,FALSE),"")</f>
        <v/>
      </c>
      <c r="E421" t="e">
        <f t="shared" si="12"/>
        <v>#VALUE!</v>
      </c>
      <c r="F421" t="str">
        <f t="shared" si="13"/>
        <v/>
      </c>
    </row>
    <row r="422" spans="4:6" x14ac:dyDescent="0.25">
      <c r="D422" t="str">
        <f>IFERROR(VLOOKUP(B422,PRODUCTOS!A:B,2,FALSE),"")</f>
        <v/>
      </c>
      <c r="E422" t="e">
        <f t="shared" si="12"/>
        <v>#VALUE!</v>
      </c>
      <c r="F422" t="str">
        <f t="shared" si="13"/>
        <v/>
      </c>
    </row>
    <row r="423" spans="4:6" x14ac:dyDescent="0.25">
      <c r="D423" t="str">
        <f>IFERROR(VLOOKUP(B423,PRODUCTOS!A:B,2,FALSE),"")</f>
        <v/>
      </c>
      <c r="E423" t="e">
        <f t="shared" si="12"/>
        <v>#VALUE!</v>
      </c>
      <c r="F423" t="str">
        <f t="shared" si="13"/>
        <v/>
      </c>
    </row>
    <row r="424" spans="4:6" x14ac:dyDescent="0.25">
      <c r="D424" t="str">
        <f>IFERROR(VLOOKUP(B424,PRODUCTOS!A:B,2,FALSE),"")</f>
        <v/>
      </c>
      <c r="E424" t="e">
        <f t="shared" si="12"/>
        <v>#VALUE!</v>
      </c>
      <c r="F424" t="str">
        <f t="shared" si="13"/>
        <v/>
      </c>
    </row>
    <row r="425" spans="4:6" x14ac:dyDescent="0.25">
      <c r="D425" t="str">
        <f>IFERROR(VLOOKUP(B425,PRODUCTOS!A:B,2,FALSE),"")</f>
        <v/>
      </c>
      <c r="E425" t="e">
        <f t="shared" si="12"/>
        <v>#VALUE!</v>
      </c>
      <c r="F425" t="str">
        <f t="shared" si="13"/>
        <v/>
      </c>
    </row>
    <row r="426" spans="4:6" x14ac:dyDescent="0.25">
      <c r="D426" t="str">
        <f>IFERROR(VLOOKUP(B426,PRODUCTOS!A:B,2,FALSE),"")</f>
        <v/>
      </c>
      <c r="E426" t="e">
        <f t="shared" si="12"/>
        <v>#VALUE!</v>
      </c>
      <c r="F426" t="str">
        <f t="shared" si="13"/>
        <v/>
      </c>
    </row>
    <row r="427" spans="4:6" x14ac:dyDescent="0.25">
      <c r="D427" t="str">
        <f>IFERROR(VLOOKUP(B427,PRODUCTOS!A:B,2,FALSE),"")</f>
        <v/>
      </c>
      <c r="E427" t="e">
        <f t="shared" si="12"/>
        <v>#VALUE!</v>
      </c>
      <c r="F427" t="str">
        <f t="shared" si="13"/>
        <v/>
      </c>
    </row>
    <row r="428" spans="4:6" x14ac:dyDescent="0.25">
      <c r="D428" t="str">
        <f>IFERROR(VLOOKUP(B428,PRODUCTOS!A:B,2,FALSE),"")</f>
        <v/>
      </c>
      <c r="E428" t="e">
        <f t="shared" si="12"/>
        <v>#VALUE!</v>
      </c>
      <c r="F428" t="str">
        <f t="shared" si="13"/>
        <v/>
      </c>
    </row>
    <row r="429" spans="4:6" x14ac:dyDescent="0.25">
      <c r="D429" t="str">
        <f>IFERROR(VLOOKUP(B429,PRODUCTOS!A:B,2,FALSE),"")</f>
        <v/>
      </c>
      <c r="E429" t="e">
        <f t="shared" si="12"/>
        <v>#VALUE!</v>
      </c>
      <c r="F429" t="str">
        <f t="shared" si="13"/>
        <v/>
      </c>
    </row>
    <row r="430" spans="4:6" x14ac:dyDescent="0.25">
      <c r="D430" t="str">
        <f>IFERROR(VLOOKUP(B430,PRODUCTOS!A:B,2,FALSE),"")</f>
        <v/>
      </c>
      <c r="E430" t="e">
        <f t="shared" si="12"/>
        <v>#VALUE!</v>
      </c>
      <c r="F430" t="str">
        <f t="shared" si="13"/>
        <v/>
      </c>
    </row>
    <row r="431" spans="4:6" x14ac:dyDescent="0.25">
      <c r="D431" t="str">
        <f>IFERROR(VLOOKUP(B431,PRODUCTOS!A:B,2,FALSE),"")</f>
        <v/>
      </c>
      <c r="E431" t="e">
        <f t="shared" si="12"/>
        <v>#VALUE!</v>
      </c>
      <c r="F431" t="str">
        <f t="shared" si="13"/>
        <v/>
      </c>
    </row>
    <row r="432" spans="4:6" x14ac:dyDescent="0.25">
      <c r="D432" t="str">
        <f>IFERROR(VLOOKUP(B432,PRODUCTOS!A:B,2,FALSE),"")</f>
        <v/>
      </c>
      <c r="E432" t="e">
        <f t="shared" si="12"/>
        <v>#VALUE!</v>
      </c>
      <c r="F432" t="str">
        <f t="shared" si="13"/>
        <v/>
      </c>
    </row>
    <row r="433" spans="4:6" x14ac:dyDescent="0.25">
      <c r="D433" t="str">
        <f>IFERROR(VLOOKUP(B433,PRODUCTOS!A:B,2,FALSE),"")</f>
        <v/>
      </c>
      <c r="E433" t="e">
        <f t="shared" si="12"/>
        <v>#VALUE!</v>
      </c>
      <c r="F433" t="str">
        <f t="shared" si="13"/>
        <v/>
      </c>
    </row>
    <row r="434" spans="4:6" x14ac:dyDescent="0.25">
      <c r="D434" t="str">
        <f>IFERROR(VLOOKUP(B434,PRODUCTOS!A:B,2,FALSE),"")</f>
        <v/>
      </c>
      <c r="E434" t="e">
        <f t="shared" si="12"/>
        <v>#VALUE!</v>
      </c>
      <c r="F434" t="str">
        <f t="shared" si="13"/>
        <v/>
      </c>
    </row>
    <row r="435" spans="4:6" x14ac:dyDescent="0.25">
      <c r="D435" t="str">
        <f>IFERROR(VLOOKUP(B435,PRODUCTOS!A:B,2,FALSE),"")</f>
        <v/>
      </c>
      <c r="E435" t="e">
        <f t="shared" si="12"/>
        <v>#VALUE!</v>
      </c>
      <c r="F435" t="str">
        <f t="shared" si="13"/>
        <v/>
      </c>
    </row>
    <row r="436" spans="4:6" x14ac:dyDescent="0.25">
      <c r="D436" t="str">
        <f>IFERROR(VLOOKUP(B436,PRODUCTOS!A:B,2,FALSE),"")</f>
        <v/>
      </c>
      <c r="E436" t="e">
        <f t="shared" si="12"/>
        <v>#VALUE!</v>
      </c>
      <c r="F436" t="str">
        <f t="shared" si="13"/>
        <v/>
      </c>
    </row>
    <row r="437" spans="4:6" x14ac:dyDescent="0.25">
      <c r="D437" t="str">
        <f>IFERROR(VLOOKUP(B437,PRODUCTOS!A:B,2,FALSE),"")</f>
        <v/>
      </c>
      <c r="E437" t="e">
        <f t="shared" si="12"/>
        <v>#VALUE!</v>
      </c>
      <c r="F437" t="str">
        <f t="shared" si="13"/>
        <v/>
      </c>
    </row>
    <row r="438" spans="4:6" x14ac:dyDescent="0.25">
      <c r="D438" t="str">
        <f>IFERROR(VLOOKUP(B438,PRODUCTOS!A:B,2,FALSE),"")</f>
        <v/>
      </c>
      <c r="E438" t="e">
        <f t="shared" si="12"/>
        <v>#VALUE!</v>
      </c>
      <c r="F438" t="str">
        <f t="shared" si="13"/>
        <v/>
      </c>
    </row>
    <row r="439" spans="4:6" x14ac:dyDescent="0.25">
      <c r="D439" t="str">
        <f>IFERROR(VLOOKUP(B439,PRODUCTOS!A:B,2,FALSE),"")</f>
        <v/>
      </c>
      <c r="E439" t="e">
        <f t="shared" si="12"/>
        <v>#VALUE!</v>
      </c>
      <c r="F439" t="str">
        <f t="shared" si="13"/>
        <v/>
      </c>
    </row>
    <row r="440" spans="4:6" x14ac:dyDescent="0.25">
      <c r="D440" t="str">
        <f>IFERROR(VLOOKUP(B440,PRODUCTOS!A:B,2,FALSE),"")</f>
        <v/>
      </c>
      <c r="E440" t="e">
        <f t="shared" si="12"/>
        <v>#VALUE!</v>
      </c>
      <c r="F440" t="str">
        <f t="shared" si="13"/>
        <v/>
      </c>
    </row>
    <row r="441" spans="4:6" x14ac:dyDescent="0.25">
      <c r="D441" t="str">
        <f>IFERROR(VLOOKUP(B441,PRODUCTOS!A:B,2,FALSE),"")</f>
        <v/>
      </c>
      <c r="E441" t="e">
        <f t="shared" si="12"/>
        <v>#VALUE!</v>
      </c>
      <c r="F441" t="str">
        <f t="shared" si="13"/>
        <v/>
      </c>
    </row>
    <row r="442" spans="4:6" x14ac:dyDescent="0.25">
      <c r="D442" t="str">
        <f>IFERROR(VLOOKUP(B442,PRODUCTOS!A:B,2,FALSE),"")</f>
        <v/>
      </c>
      <c r="E442" t="e">
        <f t="shared" si="12"/>
        <v>#VALUE!</v>
      </c>
      <c r="F442" t="str">
        <f t="shared" si="13"/>
        <v/>
      </c>
    </row>
    <row r="443" spans="4:6" x14ac:dyDescent="0.25">
      <c r="D443" t="str">
        <f>IFERROR(VLOOKUP(B443,PRODUCTOS!A:B,2,FALSE),"")</f>
        <v/>
      </c>
      <c r="E443" t="e">
        <f t="shared" si="12"/>
        <v>#VALUE!</v>
      </c>
      <c r="F443" t="str">
        <f t="shared" si="13"/>
        <v/>
      </c>
    </row>
    <row r="444" spans="4:6" x14ac:dyDescent="0.25">
      <c r="D444" t="str">
        <f>IFERROR(VLOOKUP(B444,PRODUCTOS!A:B,2,FALSE),"")</f>
        <v/>
      </c>
      <c r="E444" t="e">
        <f t="shared" si="12"/>
        <v>#VALUE!</v>
      </c>
      <c r="F444" t="str">
        <f t="shared" si="13"/>
        <v/>
      </c>
    </row>
    <row r="445" spans="4:6" x14ac:dyDescent="0.25">
      <c r="D445" t="str">
        <f>IFERROR(VLOOKUP(B445,PRODUCTOS!A:B,2,FALSE),"")</f>
        <v/>
      </c>
      <c r="E445" t="e">
        <f t="shared" si="12"/>
        <v>#VALUE!</v>
      </c>
      <c r="F445" t="str">
        <f t="shared" si="13"/>
        <v/>
      </c>
    </row>
    <row r="446" spans="4:6" x14ac:dyDescent="0.25">
      <c r="D446" t="str">
        <f>IFERROR(VLOOKUP(B446,PRODUCTOS!A:B,2,FALSE),"")</f>
        <v/>
      </c>
      <c r="E446" t="e">
        <f t="shared" si="12"/>
        <v>#VALUE!</v>
      </c>
      <c r="F446" t="str">
        <f t="shared" si="13"/>
        <v/>
      </c>
    </row>
    <row r="447" spans="4:6" x14ac:dyDescent="0.25">
      <c r="D447" t="str">
        <f>IFERROR(VLOOKUP(B447,PRODUCTOS!A:B,2,FALSE),"")</f>
        <v/>
      </c>
      <c r="E447" t="e">
        <f t="shared" si="12"/>
        <v>#VALUE!</v>
      </c>
      <c r="F447" t="str">
        <f t="shared" si="13"/>
        <v/>
      </c>
    </row>
    <row r="448" spans="4:6" x14ac:dyDescent="0.25">
      <c r="D448" t="str">
        <f>IFERROR(VLOOKUP(B448,PRODUCTOS!A:B,2,FALSE),"")</f>
        <v/>
      </c>
      <c r="E448" t="e">
        <f t="shared" si="12"/>
        <v>#VALUE!</v>
      </c>
      <c r="F448" t="str">
        <f t="shared" si="13"/>
        <v/>
      </c>
    </row>
    <row r="449" spans="4:6" x14ac:dyDescent="0.25">
      <c r="D449" t="str">
        <f>IFERROR(VLOOKUP(B449,PRODUCTOS!A:B,2,FALSE),"")</f>
        <v/>
      </c>
      <c r="E449" t="e">
        <f t="shared" si="12"/>
        <v>#VALUE!</v>
      </c>
      <c r="F449" t="str">
        <f t="shared" si="13"/>
        <v/>
      </c>
    </row>
    <row r="450" spans="4:6" x14ac:dyDescent="0.25">
      <c r="D450" t="str">
        <f>IFERROR(VLOOKUP(B450,PRODUCTOS!A:B,2,FALSE),"")</f>
        <v/>
      </c>
      <c r="E450" t="e">
        <f t="shared" ref="E450:E513" si="14">C450*D450</f>
        <v>#VALUE!</v>
      </c>
      <c r="F450" t="str">
        <f t="shared" ref="F450:F513" si="15">IF(A450="","",TEXT(A450,"yyyy-mm"))</f>
        <v/>
      </c>
    </row>
    <row r="451" spans="4:6" x14ac:dyDescent="0.25">
      <c r="D451" t="str">
        <f>IFERROR(VLOOKUP(B451,PRODUCTOS!A:B,2,FALSE),"")</f>
        <v/>
      </c>
      <c r="E451" t="e">
        <f t="shared" si="14"/>
        <v>#VALUE!</v>
      </c>
      <c r="F451" t="str">
        <f t="shared" si="15"/>
        <v/>
      </c>
    </row>
    <row r="452" spans="4:6" x14ac:dyDescent="0.25">
      <c r="D452" t="str">
        <f>IFERROR(VLOOKUP(B452,PRODUCTOS!A:B,2,FALSE),"")</f>
        <v/>
      </c>
      <c r="E452" t="e">
        <f t="shared" si="14"/>
        <v>#VALUE!</v>
      </c>
      <c r="F452" t="str">
        <f t="shared" si="15"/>
        <v/>
      </c>
    </row>
    <row r="453" spans="4:6" x14ac:dyDescent="0.25">
      <c r="D453" t="str">
        <f>IFERROR(VLOOKUP(B453,PRODUCTOS!A:B,2,FALSE),"")</f>
        <v/>
      </c>
      <c r="E453" t="e">
        <f t="shared" si="14"/>
        <v>#VALUE!</v>
      </c>
      <c r="F453" t="str">
        <f t="shared" si="15"/>
        <v/>
      </c>
    </row>
    <row r="454" spans="4:6" x14ac:dyDescent="0.25">
      <c r="D454" t="str">
        <f>IFERROR(VLOOKUP(B454,PRODUCTOS!A:B,2,FALSE),"")</f>
        <v/>
      </c>
      <c r="E454" t="e">
        <f t="shared" si="14"/>
        <v>#VALUE!</v>
      </c>
      <c r="F454" t="str">
        <f t="shared" si="15"/>
        <v/>
      </c>
    </row>
    <row r="455" spans="4:6" x14ac:dyDescent="0.25">
      <c r="D455" t="str">
        <f>IFERROR(VLOOKUP(B455,PRODUCTOS!A:B,2,FALSE),"")</f>
        <v/>
      </c>
      <c r="E455" t="e">
        <f t="shared" si="14"/>
        <v>#VALUE!</v>
      </c>
      <c r="F455" t="str">
        <f t="shared" si="15"/>
        <v/>
      </c>
    </row>
    <row r="456" spans="4:6" x14ac:dyDescent="0.25">
      <c r="D456" t="str">
        <f>IFERROR(VLOOKUP(B456,PRODUCTOS!A:B,2,FALSE),"")</f>
        <v/>
      </c>
      <c r="E456" t="e">
        <f t="shared" si="14"/>
        <v>#VALUE!</v>
      </c>
      <c r="F456" t="str">
        <f t="shared" si="15"/>
        <v/>
      </c>
    </row>
    <row r="457" spans="4:6" x14ac:dyDescent="0.25">
      <c r="D457" t="str">
        <f>IFERROR(VLOOKUP(B457,PRODUCTOS!A:B,2,FALSE),"")</f>
        <v/>
      </c>
      <c r="E457" t="e">
        <f t="shared" si="14"/>
        <v>#VALUE!</v>
      </c>
      <c r="F457" t="str">
        <f t="shared" si="15"/>
        <v/>
      </c>
    </row>
    <row r="458" spans="4:6" x14ac:dyDescent="0.25">
      <c r="D458" t="str">
        <f>IFERROR(VLOOKUP(B458,PRODUCTOS!A:B,2,FALSE),"")</f>
        <v/>
      </c>
      <c r="E458" t="e">
        <f t="shared" si="14"/>
        <v>#VALUE!</v>
      </c>
      <c r="F458" t="str">
        <f t="shared" si="15"/>
        <v/>
      </c>
    </row>
    <row r="459" spans="4:6" x14ac:dyDescent="0.25">
      <c r="D459" t="str">
        <f>IFERROR(VLOOKUP(B459,PRODUCTOS!A:B,2,FALSE),"")</f>
        <v/>
      </c>
      <c r="E459" t="e">
        <f t="shared" si="14"/>
        <v>#VALUE!</v>
      </c>
      <c r="F459" t="str">
        <f t="shared" si="15"/>
        <v/>
      </c>
    </row>
    <row r="460" spans="4:6" x14ac:dyDescent="0.25">
      <c r="D460" t="str">
        <f>IFERROR(VLOOKUP(B460,PRODUCTOS!A:B,2,FALSE),"")</f>
        <v/>
      </c>
      <c r="E460" t="e">
        <f t="shared" si="14"/>
        <v>#VALUE!</v>
      </c>
      <c r="F460" t="str">
        <f t="shared" si="15"/>
        <v/>
      </c>
    </row>
    <row r="461" spans="4:6" x14ac:dyDescent="0.25">
      <c r="D461" t="str">
        <f>IFERROR(VLOOKUP(B461,PRODUCTOS!A:B,2,FALSE),"")</f>
        <v/>
      </c>
      <c r="E461" t="e">
        <f t="shared" si="14"/>
        <v>#VALUE!</v>
      </c>
      <c r="F461" t="str">
        <f t="shared" si="15"/>
        <v/>
      </c>
    </row>
    <row r="462" spans="4:6" x14ac:dyDescent="0.25">
      <c r="D462" t="str">
        <f>IFERROR(VLOOKUP(B462,PRODUCTOS!A:B,2,FALSE),"")</f>
        <v/>
      </c>
      <c r="E462" t="e">
        <f t="shared" si="14"/>
        <v>#VALUE!</v>
      </c>
      <c r="F462" t="str">
        <f t="shared" si="15"/>
        <v/>
      </c>
    </row>
    <row r="463" spans="4:6" x14ac:dyDescent="0.25">
      <c r="D463" t="str">
        <f>IFERROR(VLOOKUP(B463,PRODUCTOS!A:B,2,FALSE),"")</f>
        <v/>
      </c>
      <c r="E463" t="e">
        <f t="shared" si="14"/>
        <v>#VALUE!</v>
      </c>
      <c r="F463" t="str">
        <f t="shared" si="15"/>
        <v/>
      </c>
    </row>
    <row r="464" spans="4:6" x14ac:dyDescent="0.25">
      <c r="D464" t="str">
        <f>IFERROR(VLOOKUP(B464,PRODUCTOS!A:B,2,FALSE),"")</f>
        <v/>
      </c>
      <c r="E464" t="e">
        <f t="shared" si="14"/>
        <v>#VALUE!</v>
      </c>
      <c r="F464" t="str">
        <f t="shared" si="15"/>
        <v/>
      </c>
    </row>
    <row r="465" spans="4:6" x14ac:dyDescent="0.25">
      <c r="D465" t="str">
        <f>IFERROR(VLOOKUP(B465,PRODUCTOS!A:B,2,FALSE),"")</f>
        <v/>
      </c>
      <c r="E465" t="e">
        <f t="shared" si="14"/>
        <v>#VALUE!</v>
      </c>
      <c r="F465" t="str">
        <f t="shared" si="15"/>
        <v/>
      </c>
    </row>
    <row r="466" spans="4:6" x14ac:dyDescent="0.25">
      <c r="D466" t="str">
        <f>IFERROR(VLOOKUP(B466,PRODUCTOS!A:B,2,FALSE),"")</f>
        <v/>
      </c>
      <c r="E466" t="e">
        <f t="shared" si="14"/>
        <v>#VALUE!</v>
      </c>
      <c r="F466" t="str">
        <f t="shared" si="15"/>
        <v/>
      </c>
    </row>
    <row r="467" spans="4:6" x14ac:dyDescent="0.25">
      <c r="D467" t="str">
        <f>IFERROR(VLOOKUP(B467,PRODUCTOS!A:B,2,FALSE),"")</f>
        <v/>
      </c>
      <c r="E467" t="e">
        <f t="shared" si="14"/>
        <v>#VALUE!</v>
      </c>
      <c r="F467" t="str">
        <f t="shared" si="15"/>
        <v/>
      </c>
    </row>
    <row r="468" spans="4:6" x14ac:dyDescent="0.25">
      <c r="D468" t="str">
        <f>IFERROR(VLOOKUP(B468,PRODUCTOS!A:B,2,FALSE),"")</f>
        <v/>
      </c>
      <c r="E468" t="e">
        <f t="shared" si="14"/>
        <v>#VALUE!</v>
      </c>
      <c r="F468" t="str">
        <f t="shared" si="15"/>
        <v/>
      </c>
    </row>
    <row r="469" spans="4:6" x14ac:dyDescent="0.25">
      <c r="D469" t="str">
        <f>IFERROR(VLOOKUP(B469,PRODUCTOS!A:B,2,FALSE),"")</f>
        <v/>
      </c>
      <c r="E469" t="e">
        <f t="shared" si="14"/>
        <v>#VALUE!</v>
      </c>
      <c r="F469" t="str">
        <f t="shared" si="15"/>
        <v/>
      </c>
    </row>
    <row r="470" spans="4:6" x14ac:dyDescent="0.25">
      <c r="D470" t="str">
        <f>IFERROR(VLOOKUP(B470,PRODUCTOS!A:B,2,FALSE),"")</f>
        <v/>
      </c>
      <c r="E470" t="e">
        <f t="shared" si="14"/>
        <v>#VALUE!</v>
      </c>
      <c r="F470" t="str">
        <f t="shared" si="15"/>
        <v/>
      </c>
    </row>
    <row r="471" spans="4:6" x14ac:dyDescent="0.25">
      <c r="D471" t="str">
        <f>IFERROR(VLOOKUP(B471,PRODUCTOS!A:B,2,FALSE),"")</f>
        <v/>
      </c>
      <c r="E471" t="e">
        <f t="shared" si="14"/>
        <v>#VALUE!</v>
      </c>
      <c r="F471" t="str">
        <f t="shared" si="15"/>
        <v/>
      </c>
    </row>
    <row r="472" spans="4:6" x14ac:dyDescent="0.25">
      <c r="D472" t="str">
        <f>IFERROR(VLOOKUP(B472,PRODUCTOS!A:B,2,FALSE),"")</f>
        <v/>
      </c>
      <c r="E472" t="e">
        <f t="shared" si="14"/>
        <v>#VALUE!</v>
      </c>
      <c r="F472" t="str">
        <f t="shared" si="15"/>
        <v/>
      </c>
    </row>
    <row r="473" spans="4:6" x14ac:dyDescent="0.25">
      <c r="D473" t="str">
        <f>IFERROR(VLOOKUP(B473,PRODUCTOS!A:B,2,FALSE),"")</f>
        <v/>
      </c>
      <c r="E473" t="e">
        <f t="shared" si="14"/>
        <v>#VALUE!</v>
      </c>
      <c r="F473" t="str">
        <f t="shared" si="15"/>
        <v/>
      </c>
    </row>
    <row r="474" spans="4:6" x14ac:dyDescent="0.25">
      <c r="D474" t="str">
        <f>IFERROR(VLOOKUP(B474,PRODUCTOS!A:B,2,FALSE),"")</f>
        <v/>
      </c>
      <c r="E474" t="e">
        <f t="shared" si="14"/>
        <v>#VALUE!</v>
      </c>
      <c r="F474" t="str">
        <f t="shared" si="15"/>
        <v/>
      </c>
    </row>
    <row r="475" spans="4:6" x14ac:dyDescent="0.25">
      <c r="D475" t="str">
        <f>IFERROR(VLOOKUP(B475,PRODUCTOS!A:B,2,FALSE),"")</f>
        <v/>
      </c>
      <c r="E475" t="e">
        <f t="shared" si="14"/>
        <v>#VALUE!</v>
      </c>
      <c r="F475" t="str">
        <f t="shared" si="15"/>
        <v/>
      </c>
    </row>
    <row r="476" spans="4:6" x14ac:dyDescent="0.25">
      <c r="D476" t="str">
        <f>IFERROR(VLOOKUP(B476,PRODUCTOS!A:B,2,FALSE),"")</f>
        <v/>
      </c>
      <c r="E476" t="e">
        <f t="shared" si="14"/>
        <v>#VALUE!</v>
      </c>
      <c r="F476" t="str">
        <f t="shared" si="15"/>
        <v/>
      </c>
    </row>
    <row r="477" spans="4:6" x14ac:dyDescent="0.25">
      <c r="D477" t="str">
        <f>IFERROR(VLOOKUP(B477,PRODUCTOS!A:B,2,FALSE),"")</f>
        <v/>
      </c>
      <c r="E477" t="e">
        <f t="shared" si="14"/>
        <v>#VALUE!</v>
      </c>
      <c r="F477" t="str">
        <f t="shared" si="15"/>
        <v/>
      </c>
    </row>
    <row r="478" spans="4:6" x14ac:dyDescent="0.25">
      <c r="D478" t="str">
        <f>IFERROR(VLOOKUP(B478,PRODUCTOS!A:B,2,FALSE),"")</f>
        <v/>
      </c>
      <c r="E478" t="e">
        <f t="shared" si="14"/>
        <v>#VALUE!</v>
      </c>
      <c r="F478" t="str">
        <f t="shared" si="15"/>
        <v/>
      </c>
    </row>
    <row r="479" spans="4:6" x14ac:dyDescent="0.25">
      <c r="D479" t="str">
        <f>IFERROR(VLOOKUP(B479,PRODUCTOS!A:B,2,FALSE),"")</f>
        <v/>
      </c>
      <c r="E479" t="e">
        <f t="shared" si="14"/>
        <v>#VALUE!</v>
      </c>
      <c r="F479" t="str">
        <f t="shared" si="15"/>
        <v/>
      </c>
    </row>
    <row r="480" spans="4:6" x14ac:dyDescent="0.25">
      <c r="D480" t="str">
        <f>IFERROR(VLOOKUP(B480,PRODUCTOS!A:B,2,FALSE),"")</f>
        <v/>
      </c>
      <c r="E480" t="e">
        <f t="shared" si="14"/>
        <v>#VALUE!</v>
      </c>
      <c r="F480" t="str">
        <f t="shared" si="15"/>
        <v/>
      </c>
    </row>
    <row r="481" spans="4:6" x14ac:dyDescent="0.25">
      <c r="D481" t="str">
        <f>IFERROR(VLOOKUP(B481,PRODUCTOS!A:B,2,FALSE),"")</f>
        <v/>
      </c>
      <c r="E481" t="e">
        <f t="shared" si="14"/>
        <v>#VALUE!</v>
      </c>
      <c r="F481" t="str">
        <f t="shared" si="15"/>
        <v/>
      </c>
    </row>
    <row r="482" spans="4:6" x14ac:dyDescent="0.25">
      <c r="D482" t="str">
        <f>IFERROR(VLOOKUP(B482,PRODUCTOS!A:B,2,FALSE),"")</f>
        <v/>
      </c>
      <c r="E482" t="e">
        <f t="shared" si="14"/>
        <v>#VALUE!</v>
      </c>
      <c r="F482" t="str">
        <f t="shared" si="15"/>
        <v/>
      </c>
    </row>
    <row r="483" spans="4:6" x14ac:dyDescent="0.25">
      <c r="D483" t="str">
        <f>IFERROR(VLOOKUP(B483,PRODUCTOS!A:B,2,FALSE),"")</f>
        <v/>
      </c>
      <c r="E483" t="e">
        <f t="shared" si="14"/>
        <v>#VALUE!</v>
      </c>
      <c r="F483" t="str">
        <f t="shared" si="15"/>
        <v/>
      </c>
    </row>
    <row r="484" spans="4:6" x14ac:dyDescent="0.25">
      <c r="D484" t="str">
        <f>IFERROR(VLOOKUP(B484,PRODUCTOS!A:B,2,FALSE),"")</f>
        <v/>
      </c>
      <c r="E484" t="e">
        <f t="shared" si="14"/>
        <v>#VALUE!</v>
      </c>
      <c r="F484" t="str">
        <f t="shared" si="15"/>
        <v/>
      </c>
    </row>
    <row r="485" spans="4:6" x14ac:dyDescent="0.25">
      <c r="D485" t="str">
        <f>IFERROR(VLOOKUP(B485,PRODUCTOS!A:B,2,FALSE),"")</f>
        <v/>
      </c>
      <c r="E485" t="e">
        <f t="shared" si="14"/>
        <v>#VALUE!</v>
      </c>
      <c r="F485" t="str">
        <f t="shared" si="15"/>
        <v/>
      </c>
    </row>
    <row r="486" spans="4:6" x14ac:dyDescent="0.25">
      <c r="D486" t="str">
        <f>IFERROR(VLOOKUP(B486,PRODUCTOS!A:B,2,FALSE),"")</f>
        <v/>
      </c>
      <c r="E486" t="e">
        <f t="shared" si="14"/>
        <v>#VALUE!</v>
      </c>
      <c r="F486" t="str">
        <f t="shared" si="15"/>
        <v/>
      </c>
    </row>
    <row r="487" spans="4:6" x14ac:dyDescent="0.25">
      <c r="D487" t="str">
        <f>IFERROR(VLOOKUP(B487,PRODUCTOS!A:B,2,FALSE),"")</f>
        <v/>
      </c>
      <c r="E487" t="e">
        <f t="shared" si="14"/>
        <v>#VALUE!</v>
      </c>
      <c r="F487" t="str">
        <f t="shared" si="15"/>
        <v/>
      </c>
    </row>
    <row r="488" spans="4:6" x14ac:dyDescent="0.25">
      <c r="D488" t="str">
        <f>IFERROR(VLOOKUP(B488,PRODUCTOS!A:B,2,FALSE),"")</f>
        <v/>
      </c>
      <c r="E488" t="e">
        <f t="shared" si="14"/>
        <v>#VALUE!</v>
      </c>
      <c r="F488" t="str">
        <f t="shared" si="15"/>
        <v/>
      </c>
    </row>
    <row r="489" spans="4:6" x14ac:dyDescent="0.25">
      <c r="D489" t="str">
        <f>IFERROR(VLOOKUP(B489,PRODUCTOS!A:B,2,FALSE),"")</f>
        <v/>
      </c>
      <c r="E489" t="e">
        <f t="shared" si="14"/>
        <v>#VALUE!</v>
      </c>
      <c r="F489" t="str">
        <f t="shared" si="15"/>
        <v/>
      </c>
    </row>
    <row r="490" spans="4:6" x14ac:dyDescent="0.25">
      <c r="D490" t="str">
        <f>IFERROR(VLOOKUP(B490,PRODUCTOS!A:B,2,FALSE),"")</f>
        <v/>
      </c>
      <c r="E490" t="e">
        <f t="shared" si="14"/>
        <v>#VALUE!</v>
      </c>
      <c r="F490" t="str">
        <f t="shared" si="15"/>
        <v/>
      </c>
    </row>
    <row r="491" spans="4:6" x14ac:dyDescent="0.25">
      <c r="D491" t="str">
        <f>IFERROR(VLOOKUP(B491,PRODUCTOS!A:B,2,FALSE),"")</f>
        <v/>
      </c>
      <c r="E491" t="e">
        <f t="shared" si="14"/>
        <v>#VALUE!</v>
      </c>
      <c r="F491" t="str">
        <f t="shared" si="15"/>
        <v/>
      </c>
    </row>
    <row r="492" spans="4:6" x14ac:dyDescent="0.25">
      <c r="D492" t="str">
        <f>IFERROR(VLOOKUP(B492,PRODUCTOS!A:B,2,FALSE),"")</f>
        <v/>
      </c>
      <c r="E492" t="e">
        <f t="shared" si="14"/>
        <v>#VALUE!</v>
      </c>
      <c r="F492" t="str">
        <f t="shared" si="15"/>
        <v/>
      </c>
    </row>
    <row r="493" spans="4:6" x14ac:dyDescent="0.25">
      <c r="D493" t="str">
        <f>IFERROR(VLOOKUP(B493,PRODUCTOS!A:B,2,FALSE),"")</f>
        <v/>
      </c>
      <c r="E493" t="e">
        <f t="shared" si="14"/>
        <v>#VALUE!</v>
      </c>
      <c r="F493" t="str">
        <f t="shared" si="15"/>
        <v/>
      </c>
    </row>
    <row r="494" spans="4:6" x14ac:dyDescent="0.25">
      <c r="D494" t="str">
        <f>IFERROR(VLOOKUP(B494,PRODUCTOS!A:B,2,FALSE),"")</f>
        <v/>
      </c>
      <c r="E494" t="e">
        <f t="shared" si="14"/>
        <v>#VALUE!</v>
      </c>
      <c r="F494" t="str">
        <f t="shared" si="15"/>
        <v/>
      </c>
    </row>
    <row r="495" spans="4:6" x14ac:dyDescent="0.25">
      <c r="D495" t="str">
        <f>IFERROR(VLOOKUP(B495,PRODUCTOS!A:B,2,FALSE),"")</f>
        <v/>
      </c>
      <c r="E495" t="e">
        <f t="shared" si="14"/>
        <v>#VALUE!</v>
      </c>
      <c r="F495" t="str">
        <f t="shared" si="15"/>
        <v/>
      </c>
    </row>
    <row r="496" spans="4:6" x14ac:dyDescent="0.25">
      <c r="D496" t="str">
        <f>IFERROR(VLOOKUP(B496,PRODUCTOS!A:B,2,FALSE),"")</f>
        <v/>
      </c>
      <c r="E496" t="e">
        <f t="shared" si="14"/>
        <v>#VALUE!</v>
      </c>
      <c r="F496" t="str">
        <f t="shared" si="15"/>
        <v/>
      </c>
    </row>
    <row r="497" spans="4:6" x14ac:dyDescent="0.25">
      <c r="D497" t="str">
        <f>IFERROR(VLOOKUP(B497,PRODUCTOS!A:B,2,FALSE),"")</f>
        <v/>
      </c>
      <c r="E497" t="e">
        <f t="shared" si="14"/>
        <v>#VALUE!</v>
      </c>
      <c r="F497" t="str">
        <f t="shared" si="15"/>
        <v/>
      </c>
    </row>
    <row r="498" spans="4:6" x14ac:dyDescent="0.25">
      <c r="D498" t="str">
        <f>IFERROR(VLOOKUP(B498,PRODUCTOS!A:B,2,FALSE),"")</f>
        <v/>
      </c>
      <c r="E498" t="e">
        <f t="shared" si="14"/>
        <v>#VALUE!</v>
      </c>
      <c r="F498" t="str">
        <f t="shared" si="15"/>
        <v/>
      </c>
    </row>
    <row r="499" spans="4:6" x14ac:dyDescent="0.25">
      <c r="D499" t="str">
        <f>IFERROR(VLOOKUP(B499,PRODUCTOS!A:B,2,FALSE),"")</f>
        <v/>
      </c>
      <c r="E499" t="e">
        <f t="shared" si="14"/>
        <v>#VALUE!</v>
      </c>
      <c r="F499" t="str">
        <f t="shared" si="15"/>
        <v/>
      </c>
    </row>
    <row r="500" spans="4:6" x14ac:dyDescent="0.25">
      <c r="D500" t="str">
        <f>IFERROR(VLOOKUP(B500,PRODUCTOS!A:B,2,FALSE),"")</f>
        <v/>
      </c>
      <c r="E500" t="e">
        <f t="shared" si="14"/>
        <v>#VALUE!</v>
      </c>
      <c r="F500" t="str">
        <f t="shared" si="15"/>
        <v/>
      </c>
    </row>
    <row r="501" spans="4:6" x14ac:dyDescent="0.25">
      <c r="D501" t="str">
        <f>IFERROR(VLOOKUP(B501,PRODUCTOS!A:B,2,FALSE),"")</f>
        <v/>
      </c>
      <c r="E501" t="e">
        <f t="shared" si="14"/>
        <v>#VALUE!</v>
      </c>
      <c r="F501" t="str">
        <f t="shared" si="15"/>
        <v/>
      </c>
    </row>
    <row r="502" spans="4:6" x14ac:dyDescent="0.25">
      <c r="D502" t="str">
        <f>IFERROR(VLOOKUP(B502,PRODUCTOS!A:B,2,FALSE),"")</f>
        <v/>
      </c>
      <c r="E502" t="e">
        <f t="shared" si="14"/>
        <v>#VALUE!</v>
      </c>
      <c r="F502" t="str">
        <f t="shared" si="15"/>
        <v/>
      </c>
    </row>
    <row r="503" spans="4:6" x14ac:dyDescent="0.25">
      <c r="D503" t="str">
        <f>IFERROR(VLOOKUP(B503,PRODUCTOS!A:B,2,FALSE),"")</f>
        <v/>
      </c>
      <c r="E503" t="e">
        <f t="shared" si="14"/>
        <v>#VALUE!</v>
      </c>
      <c r="F503" t="str">
        <f t="shared" si="15"/>
        <v/>
      </c>
    </row>
    <row r="504" spans="4:6" x14ac:dyDescent="0.25">
      <c r="D504" t="str">
        <f>IFERROR(VLOOKUP(B504,PRODUCTOS!A:B,2,FALSE),"")</f>
        <v/>
      </c>
      <c r="E504" t="e">
        <f t="shared" si="14"/>
        <v>#VALUE!</v>
      </c>
      <c r="F504" t="str">
        <f t="shared" si="15"/>
        <v/>
      </c>
    </row>
    <row r="505" spans="4:6" x14ac:dyDescent="0.25">
      <c r="D505" t="str">
        <f>IFERROR(VLOOKUP(B505,PRODUCTOS!A:B,2,FALSE),"")</f>
        <v/>
      </c>
      <c r="E505" t="e">
        <f t="shared" si="14"/>
        <v>#VALUE!</v>
      </c>
      <c r="F505" t="str">
        <f t="shared" si="15"/>
        <v/>
      </c>
    </row>
    <row r="506" spans="4:6" x14ac:dyDescent="0.25">
      <c r="D506" t="str">
        <f>IFERROR(VLOOKUP(B506,PRODUCTOS!A:B,2,FALSE),"")</f>
        <v/>
      </c>
      <c r="E506" t="e">
        <f t="shared" si="14"/>
        <v>#VALUE!</v>
      </c>
      <c r="F506" t="str">
        <f t="shared" si="15"/>
        <v/>
      </c>
    </row>
    <row r="507" spans="4:6" x14ac:dyDescent="0.25">
      <c r="D507" t="str">
        <f>IFERROR(VLOOKUP(B507,PRODUCTOS!A:B,2,FALSE),"")</f>
        <v/>
      </c>
      <c r="E507" t="e">
        <f t="shared" si="14"/>
        <v>#VALUE!</v>
      </c>
      <c r="F507" t="str">
        <f t="shared" si="15"/>
        <v/>
      </c>
    </row>
    <row r="508" spans="4:6" x14ac:dyDescent="0.25">
      <c r="D508" t="str">
        <f>IFERROR(VLOOKUP(B508,PRODUCTOS!A:B,2,FALSE),"")</f>
        <v/>
      </c>
      <c r="E508" t="e">
        <f t="shared" si="14"/>
        <v>#VALUE!</v>
      </c>
      <c r="F508" t="str">
        <f t="shared" si="15"/>
        <v/>
      </c>
    </row>
    <row r="509" spans="4:6" x14ac:dyDescent="0.25">
      <c r="D509" t="str">
        <f>IFERROR(VLOOKUP(B509,PRODUCTOS!A:B,2,FALSE),"")</f>
        <v/>
      </c>
      <c r="E509" t="e">
        <f t="shared" si="14"/>
        <v>#VALUE!</v>
      </c>
      <c r="F509" t="str">
        <f t="shared" si="15"/>
        <v/>
      </c>
    </row>
    <row r="510" spans="4:6" x14ac:dyDescent="0.25">
      <c r="D510" t="str">
        <f>IFERROR(VLOOKUP(B510,PRODUCTOS!A:B,2,FALSE),"")</f>
        <v/>
      </c>
      <c r="E510" t="e">
        <f t="shared" si="14"/>
        <v>#VALUE!</v>
      </c>
      <c r="F510" t="str">
        <f t="shared" si="15"/>
        <v/>
      </c>
    </row>
    <row r="511" spans="4:6" x14ac:dyDescent="0.25">
      <c r="D511" t="str">
        <f>IFERROR(VLOOKUP(B511,PRODUCTOS!A:B,2,FALSE),"")</f>
        <v/>
      </c>
      <c r="E511" t="e">
        <f t="shared" si="14"/>
        <v>#VALUE!</v>
      </c>
      <c r="F511" t="str">
        <f t="shared" si="15"/>
        <v/>
      </c>
    </row>
    <row r="512" spans="4:6" x14ac:dyDescent="0.25">
      <c r="D512" t="str">
        <f>IFERROR(VLOOKUP(B512,PRODUCTOS!A:B,2,FALSE),"")</f>
        <v/>
      </c>
      <c r="E512" t="e">
        <f t="shared" si="14"/>
        <v>#VALUE!</v>
      </c>
      <c r="F512" t="str">
        <f t="shared" si="15"/>
        <v/>
      </c>
    </row>
    <row r="513" spans="4:6" x14ac:dyDescent="0.25">
      <c r="D513" t="str">
        <f>IFERROR(VLOOKUP(B513,PRODUCTOS!A:B,2,FALSE),"")</f>
        <v/>
      </c>
      <c r="E513" t="e">
        <f t="shared" si="14"/>
        <v>#VALUE!</v>
      </c>
      <c r="F513" t="str">
        <f t="shared" si="15"/>
        <v/>
      </c>
    </row>
    <row r="514" spans="4:6" x14ac:dyDescent="0.25">
      <c r="D514" t="str">
        <f>IFERROR(VLOOKUP(B514,PRODUCTOS!A:B,2,FALSE),"")</f>
        <v/>
      </c>
      <c r="E514" t="e">
        <f t="shared" ref="E514:E577" si="16">C514*D514</f>
        <v>#VALUE!</v>
      </c>
      <c r="F514" t="str">
        <f t="shared" ref="F514:F577" si="17">IF(A514="","",TEXT(A514,"yyyy-mm"))</f>
        <v/>
      </c>
    </row>
    <row r="515" spans="4:6" x14ac:dyDescent="0.25">
      <c r="D515" t="str">
        <f>IFERROR(VLOOKUP(B515,PRODUCTOS!A:B,2,FALSE),"")</f>
        <v/>
      </c>
      <c r="E515" t="e">
        <f t="shared" si="16"/>
        <v>#VALUE!</v>
      </c>
      <c r="F515" t="str">
        <f t="shared" si="17"/>
        <v/>
      </c>
    </row>
    <row r="516" spans="4:6" x14ac:dyDescent="0.25">
      <c r="D516" t="str">
        <f>IFERROR(VLOOKUP(B516,PRODUCTOS!A:B,2,FALSE),"")</f>
        <v/>
      </c>
      <c r="E516" t="e">
        <f t="shared" si="16"/>
        <v>#VALUE!</v>
      </c>
      <c r="F516" t="str">
        <f t="shared" si="17"/>
        <v/>
      </c>
    </row>
    <row r="517" spans="4:6" x14ac:dyDescent="0.25">
      <c r="D517" t="str">
        <f>IFERROR(VLOOKUP(B517,PRODUCTOS!A:B,2,FALSE),"")</f>
        <v/>
      </c>
      <c r="E517" t="e">
        <f t="shared" si="16"/>
        <v>#VALUE!</v>
      </c>
      <c r="F517" t="str">
        <f t="shared" si="17"/>
        <v/>
      </c>
    </row>
    <row r="518" spans="4:6" x14ac:dyDescent="0.25">
      <c r="D518" t="str">
        <f>IFERROR(VLOOKUP(B518,PRODUCTOS!A:B,2,FALSE),"")</f>
        <v/>
      </c>
      <c r="E518" t="e">
        <f t="shared" si="16"/>
        <v>#VALUE!</v>
      </c>
      <c r="F518" t="str">
        <f t="shared" si="17"/>
        <v/>
      </c>
    </row>
    <row r="519" spans="4:6" x14ac:dyDescent="0.25">
      <c r="D519" t="str">
        <f>IFERROR(VLOOKUP(B519,PRODUCTOS!A:B,2,FALSE),"")</f>
        <v/>
      </c>
      <c r="E519" t="e">
        <f t="shared" si="16"/>
        <v>#VALUE!</v>
      </c>
      <c r="F519" t="str">
        <f t="shared" si="17"/>
        <v/>
      </c>
    </row>
    <row r="520" spans="4:6" x14ac:dyDescent="0.25">
      <c r="D520" t="str">
        <f>IFERROR(VLOOKUP(B520,PRODUCTOS!A:B,2,FALSE),"")</f>
        <v/>
      </c>
      <c r="E520" t="e">
        <f t="shared" si="16"/>
        <v>#VALUE!</v>
      </c>
      <c r="F520" t="str">
        <f t="shared" si="17"/>
        <v/>
      </c>
    </row>
    <row r="521" spans="4:6" x14ac:dyDescent="0.25">
      <c r="D521" t="str">
        <f>IFERROR(VLOOKUP(B521,PRODUCTOS!A:B,2,FALSE),"")</f>
        <v/>
      </c>
      <c r="E521" t="e">
        <f t="shared" si="16"/>
        <v>#VALUE!</v>
      </c>
      <c r="F521" t="str">
        <f t="shared" si="17"/>
        <v/>
      </c>
    </row>
    <row r="522" spans="4:6" x14ac:dyDescent="0.25">
      <c r="D522" t="str">
        <f>IFERROR(VLOOKUP(B522,PRODUCTOS!A:B,2,FALSE),"")</f>
        <v/>
      </c>
      <c r="E522" t="e">
        <f t="shared" si="16"/>
        <v>#VALUE!</v>
      </c>
      <c r="F522" t="str">
        <f t="shared" si="17"/>
        <v/>
      </c>
    </row>
    <row r="523" spans="4:6" x14ac:dyDescent="0.25">
      <c r="D523" t="str">
        <f>IFERROR(VLOOKUP(B523,PRODUCTOS!A:B,2,FALSE),"")</f>
        <v/>
      </c>
      <c r="E523" t="e">
        <f t="shared" si="16"/>
        <v>#VALUE!</v>
      </c>
      <c r="F523" t="str">
        <f t="shared" si="17"/>
        <v/>
      </c>
    </row>
    <row r="524" spans="4:6" x14ac:dyDescent="0.25">
      <c r="D524" t="str">
        <f>IFERROR(VLOOKUP(B524,PRODUCTOS!A:B,2,FALSE),"")</f>
        <v/>
      </c>
      <c r="E524" t="e">
        <f t="shared" si="16"/>
        <v>#VALUE!</v>
      </c>
      <c r="F524" t="str">
        <f t="shared" si="17"/>
        <v/>
      </c>
    </row>
    <row r="525" spans="4:6" x14ac:dyDescent="0.25">
      <c r="D525" t="str">
        <f>IFERROR(VLOOKUP(B525,PRODUCTOS!A:B,2,FALSE),"")</f>
        <v/>
      </c>
      <c r="E525" t="e">
        <f t="shared" si="16"/>
        <v>#VALUE!</v>
      </c>
      <c r="F525" t="str">
        <f t="shared" si="17"/>
        <v/>
      </c>
    </row>
    <row r="526" spans="4:6" x14ac:dyDescent="0.25">
      <c r="D526" t="str">
        <f>IFERROR(VLOOKUP(B526,PRODUCTOS!A:B,2,FALSE),"")</f>
        <v/>
      </c>
      <c r="E526" t="e">
        <f t="shared" si="16"/>
        <v>#VALUE!</v>
      </c>
      <c r="F526" t="str">
        <f t="shared" si="17"/>
        <v/>
      </c>
    </row>
    <row r="527" spans="4:6" x14ac:dyDescent="0.25">
      <c r="D527" t="str">
        <f>IFERROR(VLOOKUP(B527,PRODUCTOS!A:B,2,FALSE),"")</f>
        <v/>
      </c>
      <c r="E527" t="e">
        <f t="shared" si="16"/>
        <v>#VALUE!</v>
      </c>
      <c r="F527" t="str">
        <f t="shared" si="17"/>
        <v/>
      </c>
    </row>
    <row r="528" spans="4:6" x14ac:dyDescent="0.25">
      <c r="D528" t="str">
        <f>IFERROR(VLOOKUP(B528,PRODUCTOS!A:B,2,FALSE),"")</f>
        <v/>
      </c>
      <c r="E528" t="e">
        <f t="shared" si="16"/>
        <v>#VALUE!</v>
      </c>
      <c r="F528" t="str">
        <f t="shared" si="17"/>
        <v/>
      </c>
    </row>
    <row r="529" spans="4:6" x14ac:dyDescent="0.25">
      <c r="D529" t="str">
        <f>IFERROR(VLOOKUP(B529,PRODUCTOS!A:B,2,FALSE),"")</f>
        <v/>
      </c>
      <c r="E529" t="e">
        <f t="shared" si="16"/>
        <v>#VALUE!</v>
      </c>
      <c r="F529" t="str">
        <f t="shared" si="17"/>
        <v/>
      </c>
    </row>
    <row r="530" spans="4:6" x14ac:dyDescent="0.25">
      <c r="D530" t="str">
        <f>IFERROR(VLOOKUP(B530,PRODUCTOS!A:B,2,FALSE),"")</f>
        <v/>
      </c>
      <c r="E530" t="e">
        <f t="shared" si="16"/>
        <v>#VALUE!</v>
      </c>
      <c r="F530" t="str">
        <f t="shared" si="17"/>
        <v/>
      </c>
    </row>
    <row r="531" spans="4:6" x14ac:dyDescent="0.25">
      <c r="D531" t="str">
        <f>IFERROR(VLOOKUP(B531,PRODUCTOS!A:B,2,FALSE),"")</f>
        <v/>
      </c>
      <c r="E531" t="e">
        <f t="shared" si="16"/>
        <v>#VALUE!</v>
      </c>
      <c r="F531" t="str">
        <f t="shared" si="17"/>
        <v/>
      </c>
    </row>
    <row r="532" spans="4:6" x14ac:dyDescent="0.25">
      <c r="D532" t="str">
        <f>IFERROR(VLOOKUP(B532,PRODUCTOS!A:B,2,FALSE),"")</f>
        <v/>
      </c>
      <c r="E532" t="e">
        <f t="shared" si="16"/>
        <v>#VALUE!</v>
      </c>
      <c r="F532" t="str">
        <f t="shared" si="17"/>
        <v/>
      </c>
    </row>
    <row r="533" spans="4:6" x14ac:dyDescent="0.25">
      <c r="D533" t="str">
        <f>IFERROR(VLOOKUP(B533,PRODUCTOS!A:B,2,FALSE),"")</f>
        <v/>
      </c>
      <c r="E533" t="e">
        <f t="shared" si="16"/>
        <v>#VALUE!</v>
      </c>
      <c r="F533" t="str">
        <f t="shared" si="17"/>
        <v/>
      </c>
    </row>
    <row r="534" spans="4:6" x14ac:dyDescent="0.25">
      <c r="D534" t="str">
        <f>IFERROR(VLOOKUP(B534,PRODUCTOS!A:B,2,FALSE),"")</f>
        <v/>
      </c>
      <c r="E534" t="e">
        <f t="shared" si="16"/>
        <v>#VALUE!</v>
      </c>
      <c r="F534" t="str">
        <f t="shared" si="17"/>
        <v/>
      </c>
    </row>
    <row r="535" spans="4:6" x14ac:dyDescent="0.25">
      <c r="D535" t="str">
        <f>IFERROR(VLOOKUP(B535,PRODUCTOS!A:B,2,FALSE),"")</f>
        <v/>
      </c>
      <c r="E535" t="e">
        <f t="shared" si="16"/>
        <v>#VALUE!</v>
      </c>
      <c r="F535" t="str">
        <f t="shared" si="17"/>
        <v/>
      </c>
    </row>
    <row r="536" spans="4:6" x14ac:dyDescent="0.25">
      <c r="D536" t="str">
        <f>IFERROR(VLOOKUP(B536,PRODUCTOS!A:B,2,FALSE),"")</f>
        <v/>
      </c>
      <c r="E536" t="e">
        <f t="shared" si="16"/>
        <v>#VALUE!</v>
      </c>
      <c r="F536" t="str">
        <f t="shared" si="17"/>
        <v/>
      </c>
    </row>
    <row r="537" spans="4:6" x14ac:dyDescent="0.25">
      <c r="D537" t="str">
        <f>IFERROR(VLOOKUP(B537,PRODUCTOS!A:B,2,FALSE),"")</f>
        <v/>
      </c>
      <c r="E537" t="e">
        <f t="shared" si="16"/>
        <v>#VALUE!</v>
      </c>
      <c r="F537" t="str">
        <f t="shared" si="17"/>
        <v/>
      </c>
    </row>
    <row r="538" spans="4:6" x14ac:dyDescent="0.25">
      <c r="D538" t="str">
        <f>IFERROR(VLOOKUP(B538,PRODUCTOS!A:B,2,FALSE),"")</f>
        <v/>
      </c>
      <c r="E538" t="e">
        <f t="shared" si="16"/>
        <v>#VALUE!</v>
      </c>
      <c r="F538" t="str">
        <f t="shared" si="17"/>
        <v/>
      </c>
    </row>
    <row r="539" spans="4:6" x14ac:dyDescent="0.25">
      <c r="D539" t="str">
        <f>IFERROR(VLOOKUP(B539,PRODUCTOS!A:B,2,FALSE),"")</f>
        <v/>
      </c>
      <c r="E539" t="e">
        <f t="shared" si="16"/>
        <v>#VALUE!</v>
      </c>
      <c r="F539" t="str">
        <f t="shared" si="17"/>
        <v/>
      </c>
    </row>
    <row r="540" spans="4:6" x14ac:dyDescent="0.25">
      <c r="D540" t="str">
        <f>IFERROR(VLOOKUP(B540,PRODUCTOS!A:B,2,FALSE),"")</f>
        <v/>
      </c>
      <c r="E540" t="e">
        <f t="shared" si="16"/>
        <v>#VALUE!</v>
      </c>
      <c r="F540" t="str">
        <f t="shared" si="17"/>
        <v/>
      </c>
    </row>
    <row r="541" spans="4:6" x14ac:dyDescent="0.25">
      <c r="D541" t="str">
        <f>IFERROR(VLOOKUP(B541,PRODUCTOS!A:B,2,FALSE),"")</f>
        <v/>
      </c>
      <c r="E541" t="e">
        <f t="shared" si="16"/>
        <v>#VALUE!</v>
      </c>
      <c r="F541" t="str">
        <f t="shared" si="17"/>
        <v/>
      </c>
    </row>
    <row r="542" spans="4:6" x14ac:dyDescent="0.25">
      <c r="D542" t="str">
        <f>IFERROR(VLOOKUP(B542,PRODUCTOS!A:B,2,FALSE),"")</f>
        <v/>
      </c>
      <c r="E542" t="e">
        <f t="shared" si="16"/>
        <v>#VALUE!</v>
      </c>
      <c r="F542" t="str">
        <f t="shared" si="17"/>
        <v/>
      </c>
    </row>
    <row r="543" spans="4:6" x14ac:dyDescent="0.25">
      <c r="D543" t="str">
        <f>IFERROR(VLOOKUP(B543,PRODUCTOS!A:B,2,FALSE),"")</f>
        <v/>
      </c>
      <c r="E543" t="e">
        <f t="shared" si="16"/>
        <v>#VALUE!</v>
      </c>
      <c r="F543" t="str">
        <f t="shared" si="17"/>
        <v/>
      </c>
    </row>
    <row r="544" spans="4:6" x14ac:dyDescent="0.25">
      <c r="D544" t="str">
        <f>IFERROR(VLOOKUP(B544,PRODUCTOS!A:B,2,FALSE),"")</f>
        <v/>
      </c>
      <c r="E544" t="e">
        <f t="shared" si="16"/>
        <v>#VALUE!</v>
      </c>
      <c r="F544" t="str">
        <f t="shared" si="17"/>
        <v/>
      </c>
    </row>
    <row r="545" spans="4:6" x14ac:dyDescent="0.25">
      <c r="D545" t="str">
        <f>IFERROR(VLOOKUP(B545,PRODUCTOS!A:B,2,FALSE),"")</f>
        <v/>
      </c>
      <c r="E545" t="e">
        <f t="shared" si="16"/>
        <v>#VALUE!</v>
      </c>
      <c r="F545" t="str">
        <f t="shared" si="17"/>
        <v/>
      </c>
    </row>
    <row r="546" spans="4:6" x14ac:dyDescent="0.25">
      <c r="D546" t="str">
        <f>IFERROR(VLOOKUP(B546,PRODUCTOS!A:B,2,FALSE),"")</f>
        <v/>
      </c>
      <c r="E546" t="e">
        <f t="shared" si="16"/>
        <v>#VALUE!</v>
      </c>
      <c r="F546" t="str">
        <f t="shared" si="17"/>
        <v/>
      </c>
    </row>
    <row r="547" spans="4:6" x14ac:dyDescent="0.25">
      <c r="D547" t="str">
        <f>IFERROR(VLOOKUP(B547,PRODUCTOS!A:B,2,FALSE),"")</f>
        <v/>
      </c>
      <c r="E547" t="e">
        <f t="shared" si="16"/>
        <v>#VALUE!</v>
      </c>
      <c r="F547" t="str">
        <f t="shared" si="17"/>
        <v/>
      </c>
    </row>
    <row r="548" spans="4:6" x14ac:dyDescent="0.25">
      <c r="D548" t="str">
        <f>IFERROR(VLOOKUP(B548,PRODUCTOS!A:B,2,FALSE),"")</f>
        <v/>
      </c>
      <c r="E548" t="e">
        <f t="shared" si="16"/>
        <v>#VALUE!</v>
      </c>
      <c r="F548" t="str">
        <f t="shared" si="17"/>
        <v/>
      </c>
    </row>
    <row r="549" spans="4:6" x14ac:dyDescent="0.25">
      <c r="D549" t="str">
        <f>IFERROR(VLOOKUP(B549,PRODUCTOS!A:B,2,FALSE),"")</f>
        <v/>
      </c>
      <c r="E549" t="e">
        <f t="shared" si="16"/>
        <v>#VALUE!</v>
      </c>
      <c r="F549" t="str">
        <f t="shared" si="17"/>
        <v/>
      </c>
    </row>
    <row r="550" spans="4:6" x14ac:dyDescent="0.25">
      <c r="D550" t="str">
        <f>IFERROR(VLOOKUP(B550,PRODUCTOS!A:B,2,FALSE),"")</f>
        <v/>
      </c>
      <c r="E550" t="e">
        <f t="shared" si="16"/>
        <v>#VALUE!</v>
      </c>
      <c r="F550" t="str">
        <f t="shared" si="17"/>
        <v/>
      </c>
    </row>
    <row r="551" spans="4:6" x14ac:dyDescent="0.25">
      <c r="D551" t="str">
        <f>IFERROR(VLOOKUP(B551,PRODUCTOS!A:B,2,FALSE),"")</f>
        <v/>
      </c>
      <c r="E551" t="e">
        <f t="shared" si="16"/>
        <v>#VALUE!</v>
      </c>
      <c r="F551" t="str">
        <f t="shared" si="17"/>
        <v/>
      </c>
    </row>
    <row r="552" spans="4:6" x14ac:dyDescent="0.25">
      <c r="D552" t="str">
        <f>IFERROR(VLOOKUP(B552,PRODUCTOS!A:B,2,FALSE),"")</f>
        <v/>
      </c>
      <c r="E552" t="e">
        <f t="shared" si="16"/>
        <v>#VALUE!</v>
      </c>
      <c r="F552" t="str">
        <f t="shared" si="17"/>
        <v/>
      </c>
    </row>
    <row r="553" spans="4:6" x14ac:dyDescent="0.25">
      <c r="D553" t="str">
        <f>IFERROR(VLOOKUP(B553,PRODUCTOS!A:B,2,FALSE),"")</f>
        <v/>
      </c>
      <c r="E553" t="e">
        <f t="shared" si="16"/>
        <v>#VALUE!</v>
      </c>
      <c r="F553" t="str">
        <f t="shared" si="17"/>
        <v/>
      </c>
    </row>
    <row r="554" spans="4:6" x14ac:dyDescent="0.25">
      <c r="D554" t="str">
        <f>IFERROR(VLOOKUP(B554,PRODUCTOS!A:B,2,FALSE),"")</f>
        <v/>
      </c>
      <c r="E554" t="e">
        <f t="shared" si="16"/>
        <v>#VALUE!</v>
      </c>
      <c r="F554" t="str">
        <f t="shared" si="17"/>
        <v/>
      </c>
    </row>
    <row r="555" spans="4:6" x14ac:dyDescent="0.25">
      <c r="D555" t="str">
        <f>IFERROR(VLOOKUP(B555,PRODUCTOS!A:B,2,FALSE),"")</f>
        <v/>
      </c>
      <c r="E555" t="e">
        <f t="shared" si="16"/>
        <v>#VALUE!</v>
      </c>
      <c r="F555" t="str">
        <f t="shared" si="17"/>
        <v/>
      </c>
    </row>
    <row r="556" spans="4:6" x14ac:dyDescent="0.25">
      <c r="D556" t="str">
        <f>IFERROR(VLOOKUP(B556,PRODUCTOS!A:B,2,FALSE),"")</f>
        <v/>
      </c>
      <c r="E556" t="e">
        <f t="shared" si="16"/>
        <v>#VALUE!</v>
      </c>
      <c r="F556" t="str">
        <f t="shared" si="17"/>
        <v/>
      </c>
    </row>
    <row r="557" spans="4:6" x14ac:dyDescent="0.25">
      <c r="D557" t="str">
        <f>IFERROR(VLOOKUP(B557,PRODUCTOS!A:B,2,FALSE),"")</f>
        <v/>
      </c>
      <c r="E557" t="e">
        <f t="shared" si="16"/>
        <v>#VALUE!</v>
      </c>
      <c r="F557" t="str">
        <f t="shared" si="17"/>
        <v/>
      </c>
    </row>
    <row r="558" spans="4:6" x14ac:dyDescent="0.25">
      <c r="D558" t="str">
        <f>IFERROR(VLOOKUP(B558,PRODUCTOS!A:B,2,FALSE),"")</f>
        <v/>
      </c>
      <c r="E558" t="e">
        <f t="shared" si="16"/>
        <v>#VALUE!</v>
      </c>
      <c r="F558" t="str">
        <f t="shared" si="17"/>
        <v/>
      </c>
    </row>
    <row r="559" spans="4:6" x14ac:dyDescent="0.25">
      <c r="D559" t="str">
        <f>IFERROR(VLOOKUP(B559,PRODUCTOS!A:B,2,FALSE),"")</f>
        <v/>
      </c>
      <c r="E559" t="e">
        <f t="shared" si="16"/>
        <v>#VALUE!</v>
      </c>
      <c r="F559" t="str">
        <f t="shared" si="17"/>
        <v/>
      </c>
    </row>
    <row r="560" spans="4:6" x14ac:dyDescent="0.25">
      <c r="D560" t="str">
        <f>IFERROR(VLOOKUP(B560,PRODUCTOS!A:B,2,FALSE),"")</f>
        <v/>
      </c>
      <c r="E560" t="e">
        <f t="shared" si="16"/>
        <v>#VALUE!</v>
      </c>
      <c r="F560" t="str">
        <f t="shared" si="17"/>
        <v/>
      </c>
    </row>
    <row r="561" spans="4:6" x14ac:dyDescent="0.25">
      <c r="D561" t="str">
        <f>IFERROR(VLOOKUP(B561,PRODUCTOS!A:B,2,FALSE),"")</f>
        <v/>
      </c>
      <c r="E561" t="e">
        <f t="shared" si="16"/>
        <v>#VALUE!</v>
      </c>
      <c r="F561" t="str">
        <f t="shared" si="17"/>
        <v/>
      </c>
    </row>
    <row r="562" spans="4:6" x14ac:dyDescent="0.25">
      <c r="D562" t="str">
        <f>IFERROR(VLOOKUP(B562,PRODUCTOS!A:B,2,FALSE),"")</f>
        <v/>
      </c>
      <c r="E562" t="e">
        <f t="shared" si="16"/>
        <v>#VALUE!</v>
      </c>
      <c r="F562" t="str">
        <f t="shared" si="17"/>
        <v/>
      </c>
    </row>
    <row r="563" spans="4:6" x14ac:dyDescent="0.25">
      <c r="D563" t="str">
        <f>IFERROR(VLOOKUP(B563,PRODUCTOS!A:B,2,FALSE),"")</f>
        <v/>
      </c>
      <c r="E563" t="e">
        <f t="shared" si="16"/>
        <v>#VALUE!</v>
      </c>
      <c r="F563" t="str">
        <f t="shared" si="17"/>
        <v/>
      </c>
    </row>
    <row r="564" spans="4:6" x14ac:dyDescent="0.25">
      <c r="D564" t="str">
        <f>IFERROR(VLOOKUP(B564,PRODUCTOS!A:B,2,FALSE),"")</f>
        <v/>
      </c>
      <c r="E564" t="e">
        <f t="shared" si="16"/>
        <v>#VALUE!</v>
      </c>
      <c r="F564" t="str">
        <f t="shared" si="17"/>
        <v/>
      </c>
    </row>
    <row r="565" spans="4:6" x14ac:dyDescent="0.25">
      <c r="D565" t="str">
        <f>IFERROR(VLOOKUP(B565,PRODUCTOS!A:B,2,FALSE),"")</f>
        <v/>
      </c>
      <c r="E565" t="e">
        <f t="shared" si="16"/>
        <v>#VALUE!</v>
      </c>
      <c r="F565" t="str">
        <f t="shared" si="17"/>
        <v/>
      </c>
    </row>
    <row r="566" spans="4:6" x14ac:dyDescent="0.25">
      <c r="D566" t="str">
        <f>IFERROR(VLOOKUP(B566,PRODUCTOS!A:B,2,FALSE),"")</f>
        <v/>
      </c>
      <c r="E566" t="e">
        <f t="shared" si="16"/>
        <v>#VALUE!</v>
      </c>
      <c r="F566" t="str">
        <f t="shared" si="17"/>
        <v/>
      </c>
    </row>
    <row r="567" spans="4:6" x14ac:dyDescent="0.25">
      <c r="D567" t="str">
        <f>IFERROR(VLOOKUP(B567,PRODUCTOS!A:B,2,FALSE),"")</f>
        <v/>
      </c>
      <c r="E567" t="e">
        <f t="shared" si="16"/>
        <v>#VALUE!</v>
      </c>
      <c r="F567" t="str">
        <f t="shared" si="17"/>
        <v/>
      </c>
    </row>
    <row r="568" spans="4:6" x14ac:dyDescent="0.25">
      <c r="D568" t="str">
        <f>IFERROR(VLOOKUP(B568,PRODUCTOS!A:B,2,FALSE),"")</f>
        <v/>
      </c>
      <c r="E568" t="e">
        <f t="shared" si="16"/>
        <v>#VALUE!</v>
      </c>
      <c r="F568" t="str">
        <f t="shared" si="17"/>
        <v/>
      </c>
    </row>
    <row r="569" spans="4:6" x14ac:dyDescent="0.25">
      <c r="D569" t="str">
        <f>IFERROR(VLOOKUP(B569,PRODUCTOS!A:B,2,FALSE),"")</f>
        <v/>
      </c>
      <c r="E569" t="e">
        <f t="shared" si="16"/>
        <v>#VALUE!</v>
      </c>
      <c r="F569" t="str">
        <f t="shared" si="17"/>
        <v/>
      </c>
    </row>
    <row r="570" spans="4:6" x14ac:dyDescent="0.25">
      <c r="D570" t="str">
        <f>IFERROR(VLOOKUP(B570,PRODUCTOS!A:B,2,FALSE),"")</f>
        <v/>
      </c>
      <c r="E570" t="e">
        <f t="shared" si="16"/>
        <v>#VALUE!</v>
      </c>
      <c r="F570" t="str">
        <f t="shared" si="17"/>
        <v/>
      </c>
    </row>
    <row r="571" spans="4:6" x14ac:dyDescent="0.25">
      <c r="D571" t="str">
        <f>IFERROR(VLOOKUP(B571,PRODUCTOS!A:B,2,FALSE),"")</f>
        <v/>
      </c>
      <c r="E571" t="e">
        <f t="shared" si="16"/>
        <v>#VALUE!</v>
      </c>
      <c r="F571" t="str">
        <f t="shared" si="17"/>
        <v/>
      </c>
    </row>
    <row r="572" spans="4:6" x14ac:dyDescent="0.25">
      <c r="D572" t="str">
        <f>IFERROR(VLOOKUP(B572,PRODUCTOS!A:B,2,FALSE),"")</f>
        <v/>
      </c>
      <c r="E572" t="e">
        <f t="shared" si="16"/>
        <v>#VALUE!</v>
      </c>
      <c r="F572" t="str">
        <f t="shared" si="17"/>
        <v/>
      </c>
    </row>
    <row r="573" spans="4:6" x14ac:dyDescent="0.25">
      <c r="D573" t="str">
        <f>IFERROR(VLOOKUP(B573,PRODUCTOS!A:B,2,FALSE),"")</f>
        <v/>
      </c>
      <c r="E573" t="e">
        <f t="shared" si="16"/>
        <v>#VALUE!</v>
      </c>
      <c r="F573" t="str">
        <f t="shared" si="17"/>
        <v/>
      </c>
    </row>
    <row r="574" spans="4:6" x14ac:dyDescent="0.25">
      <c r="D574" t="str">
        <f>IFERROR(VLOOKUP(B574,PRODUCTOS!A:B,2,FALSE),"")</f>
        <v/>
      </c>
      <c r="E574" t="e">
        <f t="shared" si="16"/>
        <v>#VALUE!</v>
      </c>
      <c r="F574" t="str">
        <f t="shared" si="17"/>
        <v/>
      </c>
    </row>
    <row r="575" spans="4:6" x14ac:dyDescent="0.25">
      <c r="D575" t="str">
        <f>IFERROR(VLOOKUP(B575,PRODUCTOS!A:B,2,FALSE),"")</f>
        <v/>
      </c>
      <c r="E575" t="e">
        <f t="shared" si="16"/>
        <v>#VALUE!</v>
      </c>
      <c r="F575" t="str">
        <f t="shared" si="17"/>
        <v/>
      </c>
    </row>
    <row r="576" spans="4:6" x14ac:dyDescent="0.25">
      <c r="D576" t="str">
        <f>IFERROR(VLOOKUP(B576,PRODUCTOS!A:B,2,FALSE),"")</f>
        <v/>
      </c>
      <c r="E576" t="e">
        <f t="shared" si="16"/>
        <v>#VALUE!</v>
      </c>
      <c r="F576" t="str">
        <f t="shared" si="17"/>
        <v/>
      </c>
    </row>
    <row r="577" spans="4:6" x14ac:dyDescent="0.25">
      <c r="D577" t="str">
        <f>IFERROR(VLOOKUP(B577,PRODUCTOS!A:B,2,FALSE),"")</f>
        <v/>
      </c>
      <c r="E577" t="e">
        <f t="shared" si="16"/>
        <v>#VALUE!</v>
      </c>
      <c r="F577" t="str">
        <f t="shared" si="17"/>
        <v/>
      </c>
    </row>
    <row r="578" spans="4:6" x14ac:dyDescent="0.25">
      <c r="D578" t="str">
        <f>IFERROR(VLOOKUP(B578,PRODUCTOS!A:B,2,FALSE),"")</f>
        <v/>
      </c>
      <c r="E578" t="e">
        <f t="shared" ref="E578:E641" si="18">C578*D578</f>
        <v>#VALUE!</v>
      </c>
      <c r="F578" t="str">
        <f t="shared" ref="F578:F641" si="19">IF(A578="","",TEXT(A578,"yyyy-mm"))</f>
        <v/>
      </c>
    </row>
    <row r="579" spans="4:6" x14ac:dyDescent="0.25">
      <c r="D579" t="str">
        <f>IFERROR(VLOOKUP(B579,PRODUCTOS!A:B,2,FALSE),"")</f>
        <v/>
      </c>
      <c r="E579" t="e">
        <f t="shared" si="18"/>
        <v>#VALUE!</v>
      </c>
      <c r="F579" t="str">
        <f t="shared" si="19"/>
        <v/>
      </c>
    </row>
    <row r="580" spans="4:6" x14ac:dyDescent="0.25">
      <c r="D580" t="str">
        <f>IFERROR(VLOOKUP(B580,PRODUCTOS!A:B,2,FALSE),"")</f>
        <v/>
      </c>
      <c r="E580" t="e">
        <f t="shared" si="18"/>
        <v>#VALUE!</v>
      </c>
      <c r="F580" t="str">
        <f t="shared" si="19"/>
        <v/>
      </c>
    </row>
    <row r="581" spans="4:6" x14ac:dyDescent="0.25">
      <c r="D581" t="str">
        <f>IFERROR(VLOOKUP(B581,PRODUCTOS!A:B,2,FALSE),"")</f>
        <v/>
      </c>
      <c r="E581" t="e">
        <f t="shared" si="18"/>
        <v>#VALUE!</v>
      </c>
      <c r="F581" t="str">
        <f t="shared" si="19"/>
        <v/>
      </c>
    </row>
    <row r="582" spans="4:6" x14ac:dyDescent="0.25">
      <c r="D582" t="str">
        <f>IFERROR(VLOOKUP(B582,PRODUCTOS!A:B,2,FALSE),"")</f>
        <v/>
      </c>
      <c r="E582" t="e">
        <f t="shared" si="18"/>
        <v>#VALUE!</v>
      </c>
      <c r="F582" t="str">
        <f t="shared" si="19"/>
        <v/>
      </c>
    </row>
    <row r="583" spans="4:6" x14ac:dyDescent="0.25">
      <c r="D583" t="str">
        <f>IFERROR(VLOOKUP(B583,PRODUCTOS!A:B,2,FALSE),"")</f>
        <v/>
      </c>
      <c r="E583" t="e">
        <f t="shared" si="18"/>
        <v>#VALUE!</v>
      </c>
      <c r="F583" t="str">
        <f t="shared" si="19"/>
        <v/>
      </c>
    </row>
    <row r="584" spans="4:6" x14ac:dyDescent="0.25">
      <c r="D584" t="str">
        <f>IFERROR(VLOOKUP(B584,PRODUCTOS!A:B,2,FALSE),"")</f>
        <v/>
      </c>
      <c r="E584" t="e">
        <f t="shared" si="18"/>
        <v>#VALUE!</v>
      </c>
      <c r="F584" t="str">
        <f t="shared" si="19"/>
        <v/>
      </c>
    </row>
    <row r="585" spans="4:6" x14ac:dyDescent="0.25">
      <c r="D585" t="str">
        <f>IFERROR(VLOOKUP(B585,PRODUCTOS!A:B,2,FALSE),"")</f>
        <v/>
      </c>
      <c r="E585" t="e">
        <f t="shared" si="18"/>
        <v>#VALUE!</v>
      </c>
      <c r="F585" t="str">
        <f t="shared" si="19"/>
        <v/>
      </c>
    </row>
    <row r="586" spans="4:6" x14ac:dyDescent="0.25">
      <c r="D586" t="str">
        <f>IFERROR(VLOOKUP(B586,PRODUCTOS!A:B,2,FALSE),"")</f>
        <v/>
      </c>
      <c r="E586" t="e">
        <f t="shared" si="18"/>
        <v>#VALUE!</v>
      </c>
      <c r="F586" t="str">
        <f t="shared" si="19"/>
        <v/>
      </c>
    </row>
    <row r="587" spans="4:6" x14ac:dyDescent="0.25">
      <c r="D587" t="str">
        <f>IFERROR(VLOOKUP(B587,PRODUCTOS!A:B,2,FALSE),"")</f>
        <v/>
      </c>
      <c r="E587" t="e">
        <f t="shared" si="18"/>
        <v>#VALUE!</v>
      </c>
      <c r="F587" t="str">
        <f t="shared" si="19"/>
        <v/>
      </c>
    </row>
    <row r="588" spans="4:6" x14ac:dyDescent="0.25">
      <c r="D588" t="str">
        <f>IFERROR(VLOOKUP(B588,PRODUCTOS!A:B,2,FALSE),"")</f>
        <v/>
      </c>
      <c r="E588" t="e">
        <f t="shared" si="18"/>
        <v>#VALUE!</v>
      </c>
      <c r="F588" t="str">
        <f t="shared" si="19"/>
        <v/>
      </c>
    </row>
    <row r="589" spans="4:6" x14ac:dyDescent="0.25">
      <c r="D589" t="str">
        <f>IFERROR(VLOOKUP(B589,PRODUCTOS!A:B,2,FALSE),"")</f>
        <v/>
      </c>
      <c r="E589" t="e">
        <f t="shared" si="18"/>
        <v>#VALUE!</v>
      </c>
      <c r="F589" t="str">
        <f t="shared" si="19"/>
        <v/>
      </c>
    </row>
    <row r="590" spans="4:6" x14ac:dyDescent="0.25">
      <c r="D590" t="str">
        <f>IFERROR(VLOOKUP(B590,PRODUCTOS!A:B,2,FALSE),"")</f>
        <v/>
      </c>
      <c r="E590" t="e">
        <f t="shared" si="18"/>
        <v>#VALUE!</v>
      </c>
      <c r="F590" t="str">
        <f t="shared" si="19"/>
        <v/>
      </c>
    </row>
    <row r="591" spans="4:6" x14ac:dyDescent="0.25">
      <c r="D591" t="str">
        <f>IFERROR(VLOOKUP(B591,PRODUCTOS!A:B,2,FALSE),"")</f>
        <v/>
      </c>
      <c r="E591" t="e">
        <f t="shared" si="18"/>
        <v>#VALUE!</v>
      </c>
      <c r="F591" t="str">
        <f t="shared" si="19"/>
        <v/>
      </c>
    </row>
    <row r="592" spans="4:6" x14ac:dyDescent="0.25">
      <c r="D592" t="str">
        <f>IFERROR(VLOOKUP(B592,PRODUCTOS!A:B,2,FALSE),"")</f>
        <v/>
      </c>
      <c r="E592" t="e">
        <f t="shared" si="18"/>
        <v>#VALUE!</v>
      </c>
      <c r="F592" t="str">
        <f t="shared" si="19"/>
        <v/>
      </c>
    </row>
    <row r="593" spans="4:6" x14ac:dyDescent="0.25">
      <c r="D593" t="str">
        <f>IFERROR(VLOOKUP(B593,PRODUCTOS!A:B,2,FALSE),"")</f>
        <v/>
      </c>
      <c r="E593" t="e">
        <f t="shared" si="18"/>
        <v>#VALUE!</v>
      </c>
      <c r="F593" t="str">
        <f t="shared" si="19"/>
        <v/>
      </c>
    </row>
    <row r="594" spans="4:6" x14ac:dyDescent="0.25">
      <c r="D594" t="str">
        <f>IFERROR(VLOOKUP(B594,PRODUCTOS!A:B,2,FALSE),"")</f>
        <v/>
      </c>
      <c r="E594" t="e">
        <f t="shared" si="18"/>
        <v>#VALUE!</v>
      </c>
      <c r="F594" t="str">
        <f t="shared" si="19"/>
        <v/>
      </c>
    </row>
    <row r="595" spans="4:6" x14ac:dyDescent="0.25">
      <c r="D595" t="str">
        <f>IFERROR(VLOOKUP(B595,PRODUCTOS!A:B,2,FALSE),"")</f>
        <v/>
      </c>
      <c r="E595" t="e">
        <f t="shared" si="18"/>
        <v>#VALUE!</v>
      </c>
      <c r="F595" t="str">
        <f t="shared" si="19"/>
        <v/>
      </c>
    </row>
    <row r="596" spans="4:6" x14ac:dyDescent="0.25">
      <c r="D596" t="str">
        <f>IFERROR(VLOOKUP(B596,PRODUCTOS!A:B,2,FALSE),"")</f>
        <v/>
      </c>
      <c r="E596" t="e">
        <f t="shared" si="18"/>
        <v>#VALUE!</v>
      </c>
      <c r="F596" t="str">
        <f t="shared" si="19"/>
        <v/>
      </c>
    </row>
    <row r="597" spans="4:6" x14ac:dyDescent="0.25">
      <c r="D597" t="str">
        <f>IFERROR(VLOOKUP(B597,PRODUCTOS!A:B,2,FALSE),"")</f>
        <v/>
      </c>
      <c r="E597" t="e">
        <f t="shared" si="18"/>
        <v>#VALUE!</v>
      </c>
      <c r="F597" t="str">
        <f t="shared" si="19"/>
        <v/>
      </c>
    </row>
    <row r="598" spans="4:6" x14ac:dyDescent="0.25">
      <c r="D598" t="str">
        <f>IFERROR(VLOOKUP(B598,PRODUCTOS!A:B,2,FALSE),"")</f>
        <v/>
      </c>
      <c r="E598" t="e">
        <f t="shared" si="18"/>
        <v>#VALUE!</v>
      </c>
      <c r="F598" t="str">
        <f t="shared" si="19"/>
        <v/>
      </c>
    </row>
    <row r="599" spans="4:6" x14ac:dyDescent="0.25">
      <c r="D599" t="str">
        <f>IFERROR(VLOOKUP(B599,PRODUCTOS!A:B,2,FALSE),"")</f>
        <v/>
      </c>
      <c r="E599" t="e">
        <f t="shared" si="18"/>
        <v>#VALUE!</v>
      </c>
      <c r="F599" t="str">
        <f t="shared" si="19"/>
        <v/>
      </c>
    </row>
    <row r="600" spans="4:6" x14ac:dyDescent="0.25">
      <c r="D600" t="str">
        <f>IFERROR(VLOOKUP(B600,PRODUCTOS!A:B,2,FALSE),"")</f>
        <v/>
      </c>
      <c r="E600" t="e">
        <f t="shared" si="18"/>
        <v>#VALUE!</v>
      </c>
      <c r="F600" t="str">
        <f t="shared" si="19"/>
        <v/>
      </c>
    </row>
    <row r="601" spans="4:6" x14ac:dyDescent="0.25">
      <c r="D601" t="str">
        <f>IFERROR(VLOOKUP(B601,PRODUCTOS!A:B,2,FALSE),"")</f>
        <v/>
      </c>
      <c r="E601" t="e">
        <f t="shared" si="18"/>
        <v>#VALUE!</v>
      </c>
      <c r="F601" t="str">
        <f t="shared" si="19"/>
        <v/>
      </c>
    </row>
    <row r="602" spans="4:6" x14ac:dyDescent="0.25">
      <c r="D602" t="str">
        <f>IFERROR(VLOOKUP(B602,PRODUCTOS!A:B,2,FALSE),"")</f>
        <v/>
      </c>
      <c r="E602" t="e">
        <f t="shared" si="18"/>
        <v>#VALUE!</v>
      </c>
      <c r="F602" t="str">
        <f t="shared" si="19"/>
        <v/>
      </c>
    </row>
    <row r="603" spans="4:6" x14ac:dyDescent="0.25">
      <c r="D603" t="str">
        <f>IFERROR(VLOOKUP(B603,PRODUCTOS!A:B,2,FALSE),"")</f>
        <v/>
      </c>
      <c r="E603" t="e">
        <f t="shared" si="18"/>
        <v>#VALUE!</v>
      </c>
      <c r="F603" t="str">
        <f t="shared" si="19"/>
        <v/>
      </c>
    </row>
    <row r="604" spans="4:6" x14ac:dyDescent="0.25">
      <c r="D604" t="str">
        <f>IFERROR(VLOOKUP(B604,PRODUCTOS!A:B,2,FALSE),"")</f>
        <v/>
      </c>
      <c r="E604" t="e">
        <f t="shared" si="18"/>
        <v>#VALUE!</v>
      </c>
      <c r="F604" t="str">
        <f t="shared" si="19"/>
        <v/>
      </c>
    </row>
    <row r="605" spans="4:6" x14ac:dyDescent="0.25">
      <c r="D605" t="str">
        <f>IFERROR(VLOOKUP(B605,PRODUCTOS!A:B,2,FALSE),"")</f>
        <v/>
      </c>
      <c r="E605" t="e">
        <f t="shared" si="18"/>
        <v>#VALUE!</v>
      </c>
      <c r="F605" t="str">
        <f t="shared" si="19"/>
        <v/>
      </c>
    </row>
    <row r="606" spans="4:6" x14ac:dyDescent="0.25">
      <c r="D606" t="str">
        <f>IFERROR(VLOOKUP(B606,PRODUCTOS!A:B,2,FALSE),"")</f>
        <v/>
      </c>
      <c r="E606" t="e">
        <f t="shared" si="18"/>
        <v>#VALUE!</v>
      </c>
      <c r="F606" t="str">
        <f t="shared" si="19"/>
        <v/>
      </c>
    </row>
    <row r="607" spans="4:6" x14ac:dyDescent="0.25">
      <c r="D607" t="str">
        <f>IFERROR(VLOOKUP(B607,PRODUCTOS!A:B,2,FALSE),"")</f>
        <v/>
      </c>
      <c r="E607" t="e">
        <f t="shared" si="18"/>
        <v>#VALUE!</v>
      </c>
      <c r="F607" t="str">
        <f t="shared" si="19"/>
        <v/>
      </c>
    </row>
    <row r="608" spans="4:6" x14ac:dyDescent="0.25">
      <c r="D608" t="str">
        <f>IFERROR(VLOOKUP(B608,PRODUCTOS!A:B,2,FALSE),"")</f>
        <v/>
      </c>
      <c r="E608" t="e">
        <f t="shared" si="18"/>
        <v>#VALUE!</v>
      </c>
      <c r="F608" t="str">
        <f t="shared" si="19"/>
        <v/>
      </c>
    </row>
    <row r="609" spans="4:6" x14ac:dyDescent="0.25">
      <c r="D609" t="str">
        <f>IFERROR(VLOOKUP(B609,PRODUCTOS!A:B,2,FALSE),"")</f>
        <v/>
      </c>
      <c r="E609" t="e">
        <f t="shared" si="18"/>
        <v>#VALUE!</v>
      </c>
      <c r="F609" t="str">
        <f t="shared" si="19"/>
        <v/>
      </c>
    </row>
    <row r="610" spans="4:6" x14ac:dyDescent="0.25">
      <c r="D610" t="str">
        <f>IFERROR(VLOOKUP(B610,PRODUCTOS!A:B,2,FALSE),"")</f>
        <v/>
      </c>
      <c r="E610" t="e">
        <f t="shared" si="18"/>
        <v>#VALUE!</v>
      </c>
      <c r="F610" t="str">
        <f t="shared" si="19"/>
        <v/>
      </c>
    </row>
    <row r="611" spans="4:6" x14ac:dyDescent="0.25">
      <c r="D611" t="str">
        <f>IFERROR(VLOOKUP(B611,PRODUCTOS!A:B,2,FALSE),"")</f>
        <v/>
      </c>
      <c r="E611" t="e">
        <f t="shared" si="18"/>
        <v>#VALUE!</v>
      </c>
      <c r="F611" t="str">
        <f t="shared" si="19"/>
        <v/>
      </c>
    </row>
    <row r="612" spans="4:6" x14ac:dyDescent="0.25">
      <c r="D612" t="str">
        <f>IFERROR(VLOOKUP(B612,PRODUCTOS!A:B,2,FALSE),"")</f>
        <v/>
      </c>
      <c r="E612" t="e">
        <f t="shared" si="18"/>
        <v>#VALUE!</v>
      </c>
      <c r="F612" t="str">
        <f t="shared" si="19"/>
        <v/>
      </c>
    </row>
    <row r="613" spans="4:6" x14ac:dyDescent="0.25">
      <c r="D613" t="str">
        <f>IFERROR(VLOOKUP(B613,PRODUCTOS!A:B,2,FALSE),"")</f>
        <v/>
      </c>
      <c r="E613" t="e">
        <f t="shared" si="18"/>
        <v>#VALUE!</v>
      </c>
      <c r="F613" t="str">
        <f t="shared" si="19"/>
        <v/>
      </c>
    </row>
    <row r="614" spans="4:6" x14ac:dyDescent="0.25">
      <c r="D614" t="str">
        <f>IFERROR(VLOOKUP(B614,PRODUCTOS!A:B,2,FALSE),"")</f>
        <v/>
      </c>
      <c r="E614" t="e">
        <f t="shared" si="18"/>
        <v>#VALUE!</v>
      </c>
      <c r="F614" t="str">
        <f t="shared" si="19"/>
        <v/>
      </c>
    </row>
    <row r="615" spans="4:6" x14ac:dyDescent="0.25">
      <c r="D615" t="str">
        <f>IFERROR(VLOOKUP(B615,PRODUCTOS!A:B,2,FALSE),"")</f>
        <v/>
      </c>
      <c r="E615" t="e">
        <f t="shared" si="18"/>
        <v>#VALUE!</v>
      </c>
      <c r="F615" t="str">
        <f t="shared" si="19"/>
        <v/>
      </c>
    </row>
    <row r="616" spans="4:6" x14ac:dyDescent="0.25">
      <c r="D616" t="str">
        <f>IFERROR(VLOOKUP(B616,PRODUCTOS!A:B,2,FALSE),"")</f>
        <v/>
      </c>
      <c r="E616" t="e">
        <f t="shared" si="18"/>
        <v>#VALUE!</v>
      </c>
      <c r="F616" t="str">
        <f t="shared" si="19"/>
        <v/>
      </c>
    </row>
    <row r="617" spans="4:6" x14ac:dyDescent="0.25">
      <c r="D617" t="str">
        <f>IFERROR(VLOOKUP(B617,PRODUCTOS!A:B,2,FALSE),"")</f>
        <v/>
      </c>
      <c r="E617" t="e">
        <f t="shared" si="18"/>
        <v>#VALUE!</v>
      </c>
      <c r="F617" t="str">
        <f t="shared" si="19"/>
        <v/>
      </c>
    </row>
    <row r="618" spans="4:6" x14ac:dyDescent="0.25">
      <c r="D618" t="str">
        <f>IFERROR(VLOOKUP(B618,PRODUCTOS!A:B,2,FALSE),"")</f>
        <v/>
      </c>
      <c r="E618" t="e">
        <f t="shared" si="18"/>
        <v>#VALUE!</v>
      </c>
      <c r="F618" t="str">
        <f t="shared" si="19"/>
        <v/>
      </c>
    </row>
    <row r="619" spans="4:6" x14ac:dyDescent="0.25">
      <c r="D619" t="str">
        <f>IFERROR(VLOOKUP(B619,PRODUCTOS!A:B,2,FALSE),"")</f>
        <v/>
      </c>
      <c r="E619" t="e">
        <f t="shared" si="18"/>
        <v>#VALUE!</v>
      </c>
      <c r="F619" t="str">
        <f t="shared" si="19"/>
        <v/>
      </c>
    </row>
    <row r="620" spans="4:6" x14ac:dyDescent="0.25">
      <c r="D620" t="str">
        <f>IFERROR(VLOOKUP(B620,PRODUCTOS!A:B,2,FALSE),"")</f>
        <v/>
      </c>
      <c r="E620" t="e">
        <f t="shared" si="18"/>
        <v>#VALUE!</v>
      </c>
      <c r="F620" t="str">
        <f t="shared" si="19"/>
        <v/>
      </c>
    </row>
    <row r="621" spans="4:6" x14ac:dyDescent="0.25">
      <c r="D621" t="str">
        <f>IFERROR(VLOOKUP(B621,PRODUCTOS!A:B,2,FALSE),"")</f>
        <v/>
      </c>
      <c r="E621" t="e">
        <f t="shared" si="18"/>
        <v>#VALUE!</v>
      </c>
      <c r="F621" t="str">
        <f t="shared" si="19"/>
        <v/>
      </c>
    </row>
    <row r="622" spans="4:6" x14ac:dyDescent="0.25">
      <c r="D622" t="str">
        <f>IFERROR(VLOOKUP(B622,PRODUCTOS!A:B,2,FALSE),"")</f>
        <v/>
      </c>
      <c r="E622" t="e">
        <f t="shared" si="18"/>
        <v>#VALUE!</v>
      </c>
      <c r="F622" t="str">
        <f t="shared" si="19"/>
        <v/>
      </c>
    </row>
    <row r="623" spans="4:6" x14ac:dyDescent="0.25">
      <c r="D623" t="str">
        <f>IFERROR(VLOOKUP(B623,PRODUCTOS!A:B,2,FALSE),"")</f>
        <v/>
      </c>
      <c r="E623" t="e">
        <f t="shared" si="18"/>
        <v>#VALUE!</v>
      </c>
      <c r="F623" t="str">
        <f t="shared" si="19"/>
        <v/>
      </c>
    </row>
    <row r="624" spans="4:6" x14ac:dyDescent="0.25">
      <c r="D624" t="str">
        <f>IFERROR(VLOOKUP(B624,PRODUCTOS!A:B,2,FALSE),"")</f>
        <v/>
      </c>
      <c r="E624" t="e">
        <f t="shared" si="18"/>
        <v>#VALUE!</v>
      </c>
      <c r="F624" t="str">
        <f t="shared" si="19"/>
        <v/>
      </c>
    </row>
    <row r="625" spans="4:6" x14ac:dyDescent="0.25">
      <c r="D625" t="str">
        <f>IFERROR(VLOOKUP(B625,PRODUCTOS!A:B,2,FALSE),"")</f>
        <v/>
      </c>
      <c r="E625" t="e">
        <f t="shared" si="18"/>
        <v>#VALUE!</v>
      </c>
      <c r="F625" t="str">
        <f t="shared" si="19"/>
        <v/>
      </c>
    </row>
    <row r="626" spans="4:6" x14ac:dyDescent="0.25">
      <c r="D626" t="str">
        <f>IFERROR(VLOOKUP(B626,PRODUCTOS!A:B,2,FALSE),"")</f>
        <v/>
      </c>
      <c r="E626" t="e">
        <f t="shared" si="18"/>
        <v>#VALUE!</v>
      </c>
      <c r="F626" t="str">
        <f t="shared" si="19"/>
        <v/>
      </c>
    </row>
    <row r="627" spans="4:6" x14ac:dyDescent="0.25">
      <c r="D627" t="str">
        <f>IFERROR(VLOOKUP(B627,PRODUCTOS!A:B,2,FALSE),"")</f>
        <v/>
      </c>
      <c r="E627" t="e">
        <f t="shared" si="18"/>
        <v>#VALUE!</v>
      </c>
      <c r="F627" t="str">
        <f t="shared" si="19"/>
        <v/>
      </c>
    </row>
    <row r="628" spans="4:6" x14ac:dyDescent="0.25">
      <c r="D628" t="str">
        <f>IFERROR(VLOOKUP(B628,PRODUCTOS!A:B,2,FALSE),"")</f>
        <v/>
      </c>
      <c r="E628" t="e">
        <f t="shared" si="18"/>
        <v>#VALUE!</v>
      </c>
      <c r="F628" t="str">
        <f t="shared" si="19"/>
        <v/>
      </c>
    </row>
    <row r="629" spans="4:6" x14ac:dyDescent="0.25">
      <c r="D629" t="str">
        <f>IFERROR(VLOOKUP(B629,PRODUCTOS!A:B,2,FALSE),"")</f>
        <v/>
      </c>
      <c r="E629" t="e">
        <f t="shared" si="18"/>
        <v>#VALUE!</v>
      </c>
      <c r="F629" t="str">
        <f t="shared" si="19"/>
        <v/>
      </c>
    </row>
    <row r="630" spans="4:6" x14ac:dyDescent="0.25">
      <c r="D630" t="str">
        <f>IFERROR(VLOOKUP(B630,PRODUCTOS!A:B,2,FALSE),"")</f>
        <v/>
      </c>
      <c r="E630" t="e">
        <f t="shared" si="18"/>
        <v>#VALUE!</v>
      </c>
      <c r="F630" t="str">
        <f t="shared" si="19"/>
        <v/>
      </c>
    </row>
    <row r="631" spans="4:6" x14ac:dyDescent="0.25">
      <c r="D631" t="str">
        <f>IFERROR(VLOOKUP(B631,PRODUCTOS!A:B,2,FALSE),"")</f>
        <v/>
      </c>
      <c r="E631" t="e">
        <f t="shared" si="18"/>
        <v>#VALUE!</v>
      </c>
      <c r="F631" t="str">
        <f t="shared" si="19"/>
        <v/>
      </c>
    </row>
    <row r="632" spans="4:6" x14ac:dyDescent="0.25">
      <c r="D632" t="str">
        <f>IFERROR(VLOOKUP(B632,PRODUCTOS!A:B,2,FALSE),"")</f>
        <v/>
      </c>
      <c r="E632" t="e">
        <f t="shared" si="18"/>
        <v>#VALUE!</v>
      </c>
      <c r="F632" t="str">
        <f t="shared" si="19"/>
        <v/>
      </c>
    </row>
    <row r="633" spans="4:6" x14ac:dyDescent="0.25">
      <c r="D633" t="str">
        <f>IFERROR(VLOOKUP(B633,PRODUCTOS!A:B,2,FALSE),"")</f>
        <v/>
      </c>
      <c r="E633" t="e">
        <f t="shared" si="18"/>
        <v>#VALUE!</v>
      </c>
      <c r="F633" t="str">
        <f t="shared" si="19"/>
        <v/>
      </c>
    </row>
    <row r="634" spans="4:6" x14ac:dyDescent="0.25">
      <c r="D634" t="str">
        <f>IFERROR(VLOOKUP(B634,PRODUCTOS!A:B,2,FALSE),"")</f>
        <v/>
      </c>
      <c r="E634" t="e">
        <f t="shared" si="18"/>
        <v>#VALUE!</v>
      </c>
      <c r="F634" t="str">
        <f t="shared" si="19"/>
        <v/>
      </c>
    </row>
    <row r="635" spans="4:6" x14ac:dyDescent="0.25">
      <c r="D635" t="str">
        <f>IFERROR(VLOOKUP(B635,PRODUCTOS!A:B,2,FALSE),"")</f>
        <v/>
      </c>
      <c r="E635" t="e">
        <f t="shared" si="18"/>
        <v>#VALUE!</v>
      </c>
      <c r="F635" t="str">
        <f t="shared" si="19"/>
        <v/>
      </c>
    </row>
    <row r="636" spans="4:6" x14ac:dyDescent="0.25">
      <c r="D636" t="str">
        <f>IFERROR(VLOOKUP(B636,PRODUCTOS!A:B,2,FALSE),"")</f>
        <v/>
      </c>
      <c r="E636" t="e">
        <f t="shared" si="18"/>
        <v>#VALUE!</v>
      </c>
      <c r="F636" t="str">
        <f t="shared" si="19"/>
        <v/>
      </c>
    </row>
    <row r="637" spans="4:6" x14ac:dyDescent="0.25">
      <c r="D637" t="str">
        <f>IFERROR(VLOOKUP(B637,PRODUCTOS!A:B,2,FALSE),"")</f>
        <v/>
      </c>
      <c r="E637" t="e">
        <f t="shared" si="18"/>
        <v>#VALUE!</v>
      </c>
      <c r="F637" t="str">
        <f t="shared" si="19"/>
        <v/>
      </c>
    </row>
    <row r="638" spans="4:6" x14ac:dyDescent="0.25">
      <c r="D638" t="str">
        <f>IFERROR(VLOOKUP(B638,PRODUCTOS!A:B,2,FALSE),"")</f>
        <v/>
      </c>
      <c r="E638" t="e">
        <f t="shared" si="18"/>
        <v>#VALUE!</v>
      </c>
      <c r="F638" t="str">
        <f t="shared" si="19"/>
        <v/>
      </c>
    </row>
    <row r="639" spans="4:6" x14ac:dyDescent="0.25">
      <c r="D639" t="str">
        <f>IFERROR(VLOOKUP(B639,PRODUCTOS!A:B,2,FALSE),"")</f>
        <v/>
      </c>
      <c r="E639" t="e">
        <f t="shared" si="18"/>
        <v>#VALUE!</v>
      </c>
      <c r="F639" t="str">
        <f t="shared" si="19"/>
        <v/>
      </c>
    </row>
    <row r="640" spans="4:6" x14ac:dyDescent="0.25">
      <c r="D640" t="str">
        <f>IFERROR(VLOOKUP(B640,PRODUCTOS!A:B,2,FALSE),"")</f>
        <v/>
      </c>
      <c r="E640" t="e">
        <f t="shared" si="18"/>
        <v>#VALUE!</v>
      </c>
      <c r="F640" t="str">
        <f t="shared" si="19"/>
        <v/>
      </c>
    </row>
    <row r="641" spans="4:6" x14ac:dyDescent="0.25">
      <c r="D641" t="str">
        <f>IFERROR(VLOOKUP(B641,PRODUCTOS!A:B,2,FALSE),"")</f>
        <v/>
      </c>
      <c r="E641" t="e">
        <f t="shared" si="18"/>
        <v>#VALUE!</v>
      </c>
      <c r="F641" t="str">
        <f t="shared" si="19"/>
        <v/>
      </c>
    </row>
    <row r="642" spans="4:6" x14ac:dyDescent="0.25">
      <c r="D642" t="str">
        <f>IFERROR(VLOOKUP(B642,PRODUCTOS!A:B,2,FALSE),"")</f>
        <v/>
      </c>
      <c r="E642" t="e">
        <f t="shared" ref="E642:E705" si="20">C642*D642</f>
        <v>#VALUE!</v>
      </c>
      <c r="F642" t="str">
        <f t="shared" ref="F642:F705" si="21">IF(A642="","",TEXT(A642,"yyyy-mm"))</f>
        <v/>
      </c>
    </row>
    <row r="643" spans="4:6" x14ac:dyDescent="0.25">
      <c r="D643" t="str">
        <f>IFERROR(VLOOKUP(B643,PRODUCTOS!A:B,2,FALSE),"")</f>
        <v/>
      </c>
      <c r="E643" t="e">
        <f t="shared" si="20"/>
        <v>#VALUE!</v>
      </c>
      <c r="F643" t="str">
        <f t="shared" si="21"/>
        <v/>
      </c>
    </row>
    <row r="644" spans="4:6" x14ac:dyDescent="0.25">
      <c r="D644" t="str">
        <f>IFERROR(VLOOKUP(B644,PRODUCTOS!A:B,2,FALSE),"")</f>
        <v/>
      </c>
      <c r="E644" t="e">
        <f t="shared" si="20"/>
        <v>#VALUE!</v>
      </c>
      <c r="F644" t="str">
        <f t="shared" si="21"/>
        <v/>
      </c>
    </row>
    <row r="645" spans="4:6" x14ac:dyDescent="0.25">
      <c r="D645" t="str">
        <f>IFERROR(VLOOKUP(B645,PRODUCTOS!A:B,2,FALSE),"")</f>
        <v/>
      </c>
      <c r="E645" t="e">
        <f t="shared" si="20"/>
        <v>#VALUE!</v>
      </c>
      <c r="F645" t="str">
        <f t="shared" si="21"/>
        <v/>
      </c>
    </row>
    <row r="646" spans="4:6" x14ac:dyDescent="0.25">
      <c r="D646" t="str">
        <f>IFERROR(VLOOKUP(B646,PRODUCTOS!A:B,2,FALSE),"")</f>
        <v/>
      </c>
      <c r="E646" t="e">
        <f t="shared" si="20"/>
        <v>#VALUE!</v>
      </c>
      <c r="F646" t="str">
        <f t="shared" si="21"/>
        <v/>
      </c>
    </row>
    <row r="647" spans="4:6" x14ac:dyDescent="0.25">
      <c r="D647" t="str">
        <f>IFERROR(VLOOKUP(B647,PRODUCTOS!A:B,2,FALSE),"")</f>
        <v/>
      </c>
      <c r="E647" t="e">
        <f t="shared" si="20"/>
        <v>#VALUE!</v>
      </c>
      <c r="F647" t="str">
        <f t="shared" si="21"/>
        <v/>
      </c>
    </row>
    <row r="648" spans="4:6" x14ac:dyDescent="0.25">
      <c r="D648" t="str">
        <f>IFERROR(VLOOKUP(B648,PRODUCTOS!A:B,2,FALSE),"")</f>
        <v/>
      </c>
      <c r="E648" t="e">
        <f t="shared" si="20"/>
        <v>#VALUE!</v>
      </c>
      <c r="F648" t="str">
        <f t="shared" si="21"/>
        <v/>
      </c>
    </row>
    <row r="649" spans="4:6" x14ac:dyDescent="0.25">
      <c r="D649" t="str">
        <f>IFERROR(VLOOKUP(B649,PRODUCTOS!A:B,2,FALSE),"")</f>
        <v/>
      </c>
      <c r="E649" t="e">
        <f t="shared" si="20"/>
        <v>#VALUE!</v>
      </c>
      <c r="F649" t="str">
        <f t="shared" si="21"/>
        <v/>
      </c>
    </row>
    <row r="650" spans="4:6" x14ac:dyDescent="0.25">
      <c r="D650" t="str">
        <f>IFERROR(VLOOKUP(B650,PRODUCTOS!A:B,2,FALSE),"")</f>
        <v/>
      </c>
      <c r="E650" t="e">
        <f t="shared" si="20"/>
        <v>#VALUE!</v>
      </c>
      <c r="F650" t="str">
        <f t="shared" si="21"/>
        <v/>
      </c>
    </row>
    <row r="651" spans="4:6" x14ac:dyDescent="0.25">
      <c r="D651" t="str">
        <f>IFERROR(VLOOKUP(B651,PRODUCTOS!A:B,2,FALSE),"")</f>
        <v/>
      </c>
      <c r="E651" t="e">
        <f t="shared" si="20"/>
        <v>#VALUE!</v>
      </c>
      <c r="F651" t="str">
        <f t="shared" si="21"/>
        <v/>
      </c>
    </row>
    <row r="652" spans="4:6" x14ac:dyDescent="0.25">
      <c r="D652" t="str">
        <f>IFERROR(VLOOKUP(B652,PRODUCTOS!A:B,2,FALSE),"")</f>
        <v/>
      </c>
      <c r="E652" t="e">
        <f t="shared" si="20"/>
        <v>#VALUE!</v>
      </c>
      <c r="F652" t="str">
        <f t="shared" si="21"/>
        <v/>
      </c>
    </row>
    <row r="653" spans="4:6" x14ac:dyDescent="0.25">
      <c r="D653" t="str">
        <f>IFERROR(VLOOKUP(B653,PRODUCTOS!A:B,2,FALSE),"")</f>
        <v/>
      </c>
      <c r="E653" t="e">
        <f t="shared" si="20"/>
        <v>#VALUE!</v>
      </c>
      <c r="F653" t="str">
        <f t="shared" si="21"/>
        <v/>
      </c>
    </row>
    <row r="654" spans="4:6" x14ac:dyDescent="0.25">
      <c r="D654" t="str">
        <f>IFERROR(VLOOKUP(B654,PRODUCTOS!A:B,2,FALSE),"")</f>
        <v/>
      </c>
      <c r="E654" t="e">
        <f t="shared" si="20"/>
        <v>#VALUE!</v>
      </c>
      <c r="F654" t="str">
        <f t="shared" si="21"/>
        <v/>
      </c>
    </row>
    <row r="655" spans="4:6" x14ac:dyDescent="0.25">
      <c r="D655" t="str">
        <f>IFERROR(VLOOKUP(B655,PRODUCTOS!A:B,2,FALSE),"")</f>
        <v/>
      </c>
      <c r="E655" t="e">
        <f t="shared" si="20"/>
        <v>#VALUE!</v>
      </c>
      <c r="F655" t="str">
        <f t="shared" si="21"/>
        <v/>
      </c>
    </row>
    <row r="656" spans="4:6" x14ac:dyDescent="0.25">
      <c r="D656" t="str">
        <f>IFERROR(VLOOKUP(B656,PRODUCTOS!A:B,2,FALSE),"")</f>
        <v/>
      </c>
      <c r="E656" t="e">
        <f t="shared" si="20"/>
        <v>#VALUE!</v>
      </c>
      <c r="F656" t="str">
        <f t="shared" si="21"/>
        <v/>
      </c>
    </row>
    <row r="657" spans="4:6" x14ac:dyDescent="0.25">
      <c r="D657" t="str">
        <f>IFERROR(VLOOKUP(B657,PRODUCTOS!A:B,2,FALSE),"")</f>
        <v/>
      </c>
      <c r="E657" t="e">
        <f t="shared" si="20"/>
        <v>#VALUE!</v>
      </c>
      <c r="F657" t="str">
        <f t="shared" si="21"/>
        <v/>
      </c>
    </row>
    <row r="658" spans="4:6" x14ac:dyDescent="0.25">
      <c r="D658" t="str">
        <f>IFERROR(VLOOKUP(B658,PRODUCTOS!A:B,2,FALSE),"")</f>
        <v/>
      </c>
      <c r="E658" t="e">
        <f t="shared" si="20"/>
        <v>#VALUE!</v>
      </c>
      <c r="F658" t="str">
        <f t="shared" si="21"/>
        <v/>
      </c>
    </row>
    <row r="659" spans="4:6" x14ac:dyDescent="0.25">
      <c r="D659" t="str">
        <f>IFERROR(VLOOKUP(B659,PRODUCTOS!A:B,2,FALSE),"")</f>
        <v/>
      </c>
      <c r="E659" t="e">
        <f t="shared" si="20"/>
        <v>#VALUE!</v>
      </c>
      <c r="F659" t="str">
        <f t="shared" si="21"/>
        <v/>
      </c>
    </row>
    <row r="660" spans="4:6" x14ac:dyDescent="0.25">
      <c r="D660" t="str">
        <f>IFERROR(VLOOKUP(B660,PRODUCTOS!A:B,2,FALSE),"")</f>
        <v/>
      </c>
      <c r="E660" t="e">
        <f t="shared" si="20"/>
        <v>#VALUE!</v>
      </c>
      <c r="F660" t="str">
        <f t="shared" si="21"/>
        <v/>
      </c>
    </row>
    <row r="661" spans="4:6" x14ac:dyDescent="0.25">
      <c r="D661" t="str">
        <f>IFERROR(VLOOKUP(B661,PRODUCTOS!A:B,2,FALSE),"")</f>
        <v/>
      </c>
      <c r="E661" t="e">
        <f t="shared" si="20"/>
        <v>#VALUE!</v>
      </c>
      <c r="F661" t="str">
        <f t="shared" si="21"/>
        <v/>
      </c>
    </row>
    <row r="662" spans="4:6" x14ac:dyDescent="0.25">
      <c r="D662" t="str">
        <f>IFERROR(VLOOKUP(B662,PRODUCTOS!A:B,2,FALSE),"")</f>
        <v/>
      </c>
      <c r="E662" t="e">
        <f t="shared" si="20"/>
        <v>#VALUE!</v>
      </c>
      <c r="F662" t="str">
        <f t="shared" si="21"/>
        <v/>
      </c>
    </row>
    <row r="663" spans="4:6" x14ac:dyDescent="0.25">
      <c r="D663" t="str">
        <f>IFERROR(VLOOKUP(B663,PRODUCTOS!A:B,2,FALSE),"")</f>
        <v/>
      </c>
      <c r="E663" t="e">
        <f t="shared" si="20"/>
        <v>#VALUE!</v>
      </c>
      <c r="F663" t="str">
        <f t="shared" si="21"/>
        <v/>
      </c>
    </row>
    <row r="664" spans="4:6" x14ac:dyDescent="0.25">
      <c r="D664" t="str">
        <f>IFERROR(VLOOKUP(B664,PRODUCTOS!A:B,2,FALSE),"")</f>
        <v/>
      </c>
      <c r="E664" t="e">
        <f t="shared" si="20"/>
        <v>#VALUE!</v>
      </c>
      <c r="F664" t="str">
        <f t="shared" si="21"/>
        <v/>
      </c>
    </row>
    <row r="665" spans="4:6" x14ac:dyDescent="0.25">
      <c r="D665" t="str">
        <f>IFERROR(VLOOKUP(B665,PRODUCTOS!A:B,2,FALSE),"")</f>
        <v/>
      </c>
      <c r="E665" t="e">
        <f t="shared" si="20"/>
        <v>#VALUE!</v>
      </c>
      <c r="F665" t="str">
        <f t="shared" si="21"/>
        <v/>
      </c>
    </row>
    <row r="666" spans="4:6" x14ac:dyDescent="0.25">
      <c r="D666" t="str">
        <f>IFERROR(VLOOKUP(B666,PRODUCTOS!A:B,2,FALSE),"")</f>
        <v/>
      </c>
      <c r="E666" t="e">
        <f t="shared" si="20"/>
        <v>#VALUE!</v>
      </c>
      <c r="F666" t="str">
        <f t="shared" si="21"/>
        <v/>
      </c>
    </row>
    <row r="667" spans="4:6" x14ac:dyDescent="0.25">
      <c r="D667" t="str">
        <f>IFERROR(VLOOKUP(B667,PRODUCTOS!A:B,2,FALSE),"")</f>
        <v/>
      </c>
      <c r="E667" t="e">
        <f t="shared" si="20"/>
        <v>#VALUE!</v>
      </c>
      <c r="F667" t="str">
        <f t="shared" si="21"/>
        <v/>
      </c>
    </row>
    <row r="668" spans="4:6" x14ac:dyDescent="0.25">
      <c r="D668" t="str">
        <f>IFERROR(VLOOKUP(B668,PRODUCTOS!A:B,2,FALSE),"")</f>
        <v/>
      </c>
      <c r="E668" t="e">
        <f t="shared" si="20"/>
        <v>#VALUE!</v>
      </c>
      <c r="F668" t="str">
        <f t="shared" si="21"/>
        <v/>
      </c>
    </row>
    <row r="669" spans="4:6" x14ac:dyDescent="0.25">
      <c r="D669" t="str">
        <f>IFERROR(VLOOKUP(B669,PRODUCTOS!A:B,2,FALSE),"")</f>
        <v/>
      </c>
      <c r="E669" t="e">
        <f t="shared" si="20"/>
        <v>#VALUE!</v>
      </c>
      <c r="F669" t="str">
        <f t="shared" si="21"/>
        <v/>
      </c>
    </row>
    <row r="670" spans="4:6" x14ac:dyDescent="0.25">
      <c r="D670" t="str">
        <f>IFERROR(VLOOKUP(B670,PRODUCTOS!A:B,2,FALSE),"")</f>
        <v/>
      </c>
      <c r="E670" t="e">
        <f t="shared" si="20"/>
        <v>#VALUE!</v>
      </c>
      <c r="F670" t="str">
        <f t="shared" si="21"/>
        <v/>
      </c>
    </row>
    <row r="671" spans="4:6" x14ac:dyDescent="0.25">
      <c r="D671" t="str">
        <f>IFERROR(VLOOKUP(B671,PRODUCTOS!A:B,2,FALSE),"")</f>
        <v/>
      </c>
      <c r="E671" t="e">
        <f t="shared" si="20"/>
        <v>#VALUE!</v>
      </c>
      <c r="F671" t="str">
        <f t="shared" si="21"/>
        <v/>
      </c>
    </row>
    <row r="672" spans="4:6" x14ac:dyDescent="0.25">
      <c r="D672" t="str">
        <f>IFERROR(VLOOKUP(B672,PRODUCTOS!A:B,2,FALSE),"")</f>
        <v/>
      </c>
      <c r="E672" t="e">
        <f t="shared" si="20"/>
        <v>#VALUE!</v>
      </c>
      <c r="F672" t="str">
        <f t="shared" si="21"/>
        <v/>
      </c>
    </row>
    <row r="673" spans="4:6" x14ac:dyDescent="0.25">
      <c r="D673" t="str">
        <f>IFERROR(VLOOKUP(B673,PRODUCTOS!A:B,2,FALSE),"")</f>
        <v/>
      </c>
      <c r="E673" t="e">
        <f t="shared" si="20"/>
        <v>#VALUE!</v>
      </c>
      <c r="F673" t="str">
        <f t="shared" si="21"/>
        <v/>
      </c>
    </row>
    <row r="674" spans="4:6" x14ac:dyDescent="0.25">
      <c r="D674" t="str">
        <f>IFERROR(VLOOKUP(B674,PRODUCTOS!A:B,2,FALSE),"")</f>
        <v/>
      </c>
      <c r="E674" t="e">
        <f t="shared" si="20"/>
        <v>#VALUE!</v>
      </c>
      <c r="F674" t="str">
        <f t="shared" si="21"/>
        <v/>
      </c>
    </row>
    <row r="675" spans="4:6" x14ac:dyDescent="0.25">
      <c r="D675" t="str">
        <f>IFERROR(VLOOKUP(B675,PRODUCTOS!A:B,2,FALSE),"")</f>
        <v/>
      </c>
      <c r="E675" t="e">
        <f t="shared" si="20"/>
        <v>#VALUE!</v>
      </c>
      <c r="F675" t="str">
        <f t="shared" si="21"/>
        <v/>
      </c>
    </row>
    <row r="676" spans="4:6" x14ac:dyDescent="0.25">
      <c r="D676" t="str">
        <f>IFERROR(VLOOKUP(B676,PRODUCTOS!A:B,2,FALSE),"")</f>
        <v/>
      </c>
      <c r="E676" t="e">
        <f t="shared" si="20"/>
        <v>#VALUE!</v>
      </c>
      <c r="F676" t="str">
        <f t="shared" si="21"/>
        <v/>
      </c>
    </row>
    <row r="677" spans="4:6" x14ac:dyDescent="0.25">
      <c r="D677" t="str">
        <f>IFERROR(VLOOKUP(B677,PRODUCTOS!A:B,2,FALSE),"")</f>
        <v/>
      </c>
      <c r="E677" t="e">
        <f t="shared" si="20"/>
        <v>#VALUE!</v>
      </c>
      <c r="F677" t="str">
        <f t="shared" si="21"/>
        <v/>
      </c>
    </row>
    <row r="678" spans="4:6" x14ac:dyDescent="0.25">
      <c r="D678" t="str">
        <f>IFERROR(VLOOKUP(B678,PRODUCTOS!A:B,2,FALSE),"")</f>
        <v/>
      </c>
      <c r="E678" t="e">
        <f t="shared" si="20"/>
        <v>#VALUE!</v>
      </c>
      <c r="F678" t="str">
        <f t="shared" si="21"/>
        <v/>
      </c>
    </row>
    <row r="679" spans="4:6" x14ac:dyDescent="0.25">
      <c r="D679" t="str">
        <f>IFERROR(VLOOKUP(B679,PRODUCTOS!A:B,2,FALSE),"")</f>
        <v/>
      </c>
      <c r="E679" t="e">
        <f t="shared" si="20"/>
        <v>#VALUE!</v>
      </c>
      <c r="F679" t="str">
        <f t="shared" si="21"/>
        <v/>
      </c>
    </row>
    <row r="680" spans="4:6" x14ac:dyDescent="0.25">
      <c r="D680" t="str">
        <f>IFERROR(VLOOKUP(B680,PRODUCTOS!A:B,2,FALSE),"")</f>
        <v/>
      </c>
      <c r="E680" t="e">
        <f t="shared" si="20"/>
        <v>#VALUE!</v>
      </c>
      <c r="F680" t="str">
        <f t="shared" si="21"/>
        <v/>
      </c>
    </row>
    <row r="681" spans="4:6" x14ac:dyDescent="0.25">
      <c r="D681" t="str">
        <f>IFERROR(VLOOKUP(B681,PRODUCTOS!A:B,2,FALSE),"")</f>
        <v/>
      </c>
      <c r="E681" t="e">
        <f t="shared" si="20"/>
        <v>#VALUE!</v>
      </c>
      <c r="F681" t="str">
        <f t="shared" si="21"/>
        <v/>
      </c>
    </row>
    <row r="682" spans="4:6" x14ac:dyDescent="0.25">
      <c r="D682" t="str">
        <f>IFERROR(VLOOKUP(B682,PRODUCTOS!A:B,2,FALSE),"")</f>
        <v/>
      </c>
      <c r="E682" t="e">
        <f t="shared" si="20"/>
        <v>#VALUE!</v>
      </c>
      <c r="F682" t="str">
        <f t="shared" si="21"/>
        <v/>
      </c>
    </row>
    <row r="683" spans="4:6" x14ac:dyDescent="0.25">
      <c r="D683" t="str">
        <f>IFERROR(VLOOKUP(B683,PRODUCTOS!A:B,2,FALSE),"")</f>
        <v/>
      </c>
      <c r="E683" t="e">
        <f t="shared" si="20"/>
        <v>#VALUE!</v>
      </c>
      <c r="F683" t="str">
        <f t="shared" si="21"/>
        <v/>
      </c>
    </row>
    <row r="684" spans="4:6" x14ac:dyDescent="0.25">
      <c r="D684" t="str">
        <f>IFERROR(VLOOKUP(B684,PRODUCTOS!A:B,2,FALSE),"")</f>
        <v/>
      </c>
      <c r="E684" t="e">
        <f t="shared" si="20"/>
        <v>#VALUE!</v>
      </c>
      <c r="F684" t="str">
        <f t="shared" si="21"/>
        <v/>
      </c>
    </row>
    <row r="685" spans="4:6" x14ac:dyDescent="0.25">
      <c r="D685" t="str">
        <f>IFERROR(VLOOKUP(B685,PRODUCTOS!A:B,2,FALSE),"")</f>
        <v/>
      </c>
      <c r="E685" t="e">
        <f t="shared" si="20"/>
        <v>#VALUE!</v>
      </c>
      <c r="F685" t="str">
        <f t="shared" si="21"/>
        <v/>
      </c>
    </row>
    <row r="686" spans="4:6" x14ac:dyDescent="0.25">
      <c r="D686" t="str">
        <f>IFERROR(VLOOKUP(B686,PRODUCTOS!A:B,2,FALSE),"")</f>
        <v/>
      </c>
      <c r="E686" t="e">
        <f t="shared" si="20"/>
        <v>#VALUE!</v>
      </c>
      <c r="F686" t="str">
        <f t="shared" si="21"/>
        <v/>
      </c>
    </row>
    <row r="687" spans="4:6" x14ac:dyDescent="0.25">
      <c r="D687" t="str">
        <f>IFERROR(VLOOKUP(B687,PRODUCTOS!A:B,2,FALSE),"")</f>
        <v/>
      </c>
      <c r="E687" t="e">
        <f t="shared" si="20"/>
        <v>#VALUE!</v>
      </c>
      <c r="F687" t="str">
        <f t="shared" si="21"/>
        <v/>
      </c>
    </row>
    <row r="688" spans="4:6" x14ac:dyDescent="0.25">
      <c r="D688" t="str">
        <f>IFERROR(VLOOKUP(B688,PRODUCTOS!A:B,2,FALSE),"")</f>
        <v/>
      </c>
      <c r="E688" t="e">
        <f t="shared" si="20"/>
        <v>#VALUE!</v>
      </c>
      <c r="F688" t="str">
        <f t="shared" si="21"/>
        <v/>
      </c>
    </row>
    <row r="689" spans="4:6" x14ac:dyDescent="0.25">
      <c r="D689" t="str">
        <f>IFERROR(VLOOKUP(B689,PRODUCTOS!A:B,2,FALSE),"")</f>
        <v/>
      </c>
      <c r="E689" t="e">
        <f t="shared" si="20"/>
        <v>#VALUE!</v>
      </c>
      <c r="F689" t="str">
        <f t="shared" si="21"/>
        <v/>
      </c>
    </row>
    <row r="690" spans="4:6" x14ac:dyDescent="0.25">
      <c r="D690" t="str">
        <f>IFERROR(VLOOKUP(B690,PRODUCTOS!A:B,2,FALSE),"")</f>
        <v/>
      </c>
      <c r="E690" t="e">
        <f t="shared" si="20"/>
        <v>#VALUE!</v>
      </c>
      <c r="F690" t="str">
        <f t="shared" si="21"/>
        <v/>
      </c>
    </row>
    <row r="691" spans="4:6" x14ac:dyDescent="0.25">
      <c r="D691" t="str">
        <f>IFERROR(VLOOKUP(B691,PRODUCTOS!A:B,2,FALSE),"")</f>
        <v/>
      </c>
      <c r="E691" t="e">
        <f t="shared" si="20"/>
        <v>#VALUE!</v>
      </c>
      <c r="F691" t="str">
        <f t="shared" si="21"/>
        <v/>
      </c>
    </row>
    <row r="692" spans="4:6" x14ac:dyDescent="0.25">
      <c r="D692" t="str">
        <f>IFERROR(VLOOKUP(B692,PRODUCTOS!A:B,2,FALSE),"")</f>
        <v/>
      </c>
      <c r="E692" t="e">
        <f t="shared" si="20"/>
        <v>#VALUE!</v>
      </c>
      <c r="F692" t="str">
        <f t="shared" si="21"/>
        <v/>
      </c>
    </row>
    <row r="693" spans="4:6" x14ac:dyDescent="0.25">
      <c r="D693" t="str">
        <f>IFERROR(VLOOKUP(B693,PRODUCTOS!A:B,2,FALSE),"")</f>
        <v/>
      </c>
      <c r="E693" t="e">
        <f t="shared" si="20"/>
        <v>#VALUE!</v>
      </c>
      <c r="F693" t="str">
        <f t="shared" si="21"/>
        <v/>
      </c>
    </row>
    <row r="694" spans="4:6" x14ac:dyDescent="0.25">
      <c r="D694" t="str">
        <f>IFERROR(VLOOKUP(B694,PRODUCTOS!A:B,2,FALSE),"")</f>
        <v/>
      </c>
      <c r="E694" t="e">
        <f t="shared" si="20"/>
        <v>#VALUE!</v>
      </c>
      <c r="F694" t="str">
        <f t="shared" si="21"/>
        <v/>
      </c>
    </row>
    <row r="695" spans="4:6" x14ac:dyDescent="0.25">
      <c r="D695" t="str">
        <f>IFERROR(VLOOKUP(B695,PRODUCTOS!A:B,2,FALSE),"")</f>
        <v/>
      </c>
      <c r="E695" t="e">
        <f t="shared" si="20"/>
        <v>#VALUE!</v>
      </c>
      <c r="F695" t="str">
        <f t="shared" si="21"/>
        <v/>
      </c>
    </row>
    <row r="696" spans="4:6" x14ac:dyDescent="0.25">
      <c r="D696" t="str">
        <f>IFERROR(VLOOKUP(B696,PRODUCTOS!A:B,2,FALSE),"")</f>
        <v/>
      </c>
      <c r="E696" t="e">
        <f t="shared" si="20"/>
        <v>#VALUE!</v>
      </c>
      <c r="F696" t="str">
        <f t="shared" si="21"/>
        <v/>
      </c>
    </row>
    <row r="697" spans="4:6" x14ac:dyDescent="0.25">
      <c r="D697" t="str">
        <f>IFERROR(VLOOKUP(B697,PRODUCTOS!A:B,2,FALSE),"")</f>
        <v/>
      </c>
      <c r="E697" t="e">
        <f t="shared" si="20"/>
        <v>#VALUE!</v>
      </c>
      <c r="F697" t="str">
        <f t="shared" si="21"/>
        <v/>
      </c>
    </row>
    <row r="698" spans="4:6" x14ac:dyDescent="0.25">
      <c r="D698" t="str">
        <f>IFERROR(VLOOKUP(B698,PRODUCTOS!A:B,2,FALSE),"")</f>
        <v/>
      </c>
      <c r="E698" t="e">
        <f t="shared" si="20"/>
        <v>#VALUE!</v>
      </c>
      <c r="F698" t="str">
        <f t="shared" si="21"/>
        <v/>
      </c>
    </row>
    <row r="699" spans="4:6" x14ac:dyDescent="0.25">
      <c r="D699" t="str">
        <f>IFERROR(VLOOKUP(B699,PRODUCTOS!A:B,2,FALSE),"")</f>
        <v/>
      </c>
      <c r="E699" t="e">
        <f t="shared" si="20"/>
        <v>#VALUE!</v>
      </c>
      <c r="F699" t="str">
        <f t="shared" si="21"/>
        <v/>
      </c>
    </row>
    <row r="700" spans="4:6" x14ac:dyDescent="0.25">
      <c r="D700" t="str">
        <f>IFERROR(VLOOKUP(B700,PRODUCTOS!A:B,2,FALSE),"")</f>
        <v/>
      </c>
      <c r="E700" t="e">
        <f t="shared" si="20"/>
        <v>#VALUE!</v>
      </c>
      <c r="F700" t="str">
        <f t="shared" si="21"/>
        <v/>
      </c>
    </row>
    <row r="701" spans="4:6" x14ac:dyDescent="0.25">
      <c r="D701" t="str">
        <f>IFERROR(VLOOKUP(B701,PRODUCTOS!A:B,2,FALSE),"")</f>
        <v/>
      </c>
      <c r="E701" t="e">
        <f t="shared" si="20"/>
        <v>#VALUE!</v>
      </c>
      <c r="F701" t="str">
        <f t="shared" si="21"/>
        <v/>
      </c>
    </row>
    <row r="702" spans="4:6" x14ac:dyDescent="0.25">
      <c r="D702" t="str">
        <f>IFERROR(VLOOKUP(B702,PRODUCTOS!A:B,2,FALSE),"")</f>
        <v/>
      </c>
      <c r="E702" t="e">
        <f t="shared" si="20"/>
        <v>#VALUE!</v>
      </c>
      <c r="F702" t="str">
        <f t="shared" si="21"/>
        <v/>
      </c>
    </row>
    <row r="703" spans="4:6" x14ac:dyDescent="0.25">
      <c r="D703" t="str">
        <f>IFERROR(VLOOKUP(B703,PRODUCTOS!A:B,2,FALSE),"")</f>
        <v/>
      </c>
      <c r="E703" t="e">
        <f t="shared" si="20"/>
        <v>#VALUE!</v>
      </c>
      <c r="F703" t="str">
        <f t="shared" si="21"/>
        <v/>
      </c>
    </row>
    <row r="704" spans="4:6" x14ac:dyDescent="0.25">
      <c r="D704" t="str">
        <f>IFERROR(VLOOKUP(B704,PRODUCTOS!A:B,2,FALSE),"")</f>
        <v/>
      </c>
      <c r="E704" t="e">
        <f t="shared" si="20"/>
        <v>#VALUE!</v>
      </c>
      <c r="F704" t="str">
        <f t="shared" si="21"/>
        <v/>
      </c>
    </row>
    <row r="705" spans="4:6" x14ac:dyDescent="0.25">
      <c r="D705" t="str">
        <f>IFERROR(VLOOKUP(B705,PRODUCTOS!A:B,2,FALSE),"")</f>
        <v/>
      </c>
      <c r="E705" t="e">
        <f t="shared" si="20"/>
        <v>#VALUE!</v>
      </c>
      <c r="F705" t="str">
        <f t="shared" si="21"/>
        <v/>
      </c>
    </row>
    <row r="706" spans="4:6" x14ac:dyDescent="0.25">
      <c r="D706" t="str">
        <f>IFERROR(VLOOKUP(B706,PRODUCTOS!A:B,2,FALSE),"")</f>
        <v/>
      </c>
      <c r="E706" t="e">
        <f t="shared" ref="E706:E769" si="22">C706*D706</f>
        <v>#VALUE!</v>
      </c>
      <c r="F706" t="str">
        <f t="shared" ref="F706:F769" si="23">IF(A706="","",TEXT(A706,"yyyy-mm"))</f>
        <v/>
      </c>
    </row>
    <row r="707" spans="4:6" x14ac:dyDescent="0.25">
      <c r="D707" t="str">
        <f>IFERROR(VLOOKUP(B707,PRODUCTOS!A:B,2,FALSE),"")</f>
        <v/>
      </c>
      <c r="E707" t="e">
        <f t="shared" si="22"/>
        <v>#VALUE!</v>
      </c>
      <c r="F707" t="str">
        <f t="shared" si="23"/>
        <v/>
      </c>
    </row>
    <row r="708" spans="4:6" x14ac:dyDescent="0.25">
      <c r="D708" t="str">
        <f>IFERROR(VLOOKUP(B708,PRODUCTOS!A:B,2,FALSE),"")</f>
        <v/>
      </c>
      <c r="E708" t="e">
        <f t="shared" si="22"/>
        <v>#VALUE!</v>
      </c>
      <c r="F708" t="str">
        <f t="shared" si="23"/>
        <v/>
      </c>
    </row>
    <row r="709" spans="4:6" x14ac:dyDescent="0.25">
      <c r="D709" t="str">
        <f>IFERROR(VLOOKUP(B709,PRODUCTOS!A:B,2,FALSE),"")</f>
        <v/>
      </c>
      <c r="E709" t="e">
        <f t="shared" si="22"/>
        <v>#VALUE!</v>
      </c>
      <c r="F709" t="str">
        <f t="shared" si="23"/>
        <v/>
      </c>
    </row>
    <row r="710" spans="4:6" x14ac:dyDescent="0.25">
      <c r="D710" t="str">
        <f>IFERROR(VLOOKUP(B710,PRODUCTOS!A:B,2,FALSE),"")</f>
        <v/>
      </c>
      <c r="E710" t="e">
        <f t="shared" si="22"/>
        <v>#VALUE!</v>
      </c>
      <c r="F710" t="str">
        <f t="shared" si="23"/>
        <v/>
      </c>
    </row>
    <row r="711" spans="4:6" x14ac:dyDescent="0.25">
      <c r="D711" t="str">
        <f>IFERROR(VLOOKUP(B711,PRODUCTOS!A:B,2,FALSE),"")</f>
        <v/>
      </c>
      <c r="E711" t="e">
        <f t="shared" si="22"/>
        <v>#VALUE!</v>
      </c>
      <c r="F711" t="str">
        <f t="shared" si="23"/>
        <v/>
      </c>
    </row>
    <row r="712" spans="4:6" x14ac:dyDescent="0.25">
      <c r="D712" t="str">
        <f>IFERROR(VLOOKUP(B712,PRODUCTOS!A:B,2,FALSE),"")</f>
        <v/>
      </c>
      <c r="E712" t="e">
        <f t="shared" si="22"/>
        <v>#VALUE!</v>
      </c>
      <c r="F712" t="str">
        <f t="shared" si="23"/>
        <v/>
      </c>
    </row>
    <row r="713" spans="4:6" x14ac:dyDescent="0.25">
      <c r="D713" t="str">
        <f>IFERROR(VLOOKUP(B713,PRODUCTOS!A:B,2,FALSE),"")</f>
        <v/>
      </c>
      <c r="E713" t="e">
        <f t="shared" si="22"/>
        <v>#VALUE!</v>
      </c>
      <c r="F713" t="str">
        <f t="shared" si="23"/>
        <v/>
      </c>
    </row>
    <row r="714" spans="4:6" x14ac:dyDescent="0.25">
      <c r="D714" t="str">
        <f>IFERROR(VLOOKUP(B714,PRODUCTOS!A:B,2,FALSE),"")</f>
        <v/>
      </c>
      <c r="E714" t="e">
        <f t="shared" si="22"/>
        <v>#VALUE!</v>
      </c>
      <c r="F714" t="str">
        <f t="shared" si="23"/>
        <v/>
      </c>
    </row>
    <row r="715" spans="4:6" x14ac:dyDescent="0.25">
      <c r="D715" t="str">
        <f>IFERROR(VLOOKUP(B715,PRODUCTOS!A:B,2,FALSE),"")</f>
        <v/>
      </c>
      <c r="E715" t="e">
        <f t="shared" si="22"/>
        <v>#VALUE!</v>
      </c>
      <c r="F715" t="str">
        <f t="shared" si="23"/>
        <v/>
      </c>
    </row>
    <row r="716" spans="4:6" x14ac:dyDescent="0.25">
      <c r="D716" t="str">
        <f>IFERROR(VLOOKUP(B716,PRODUCTOS!A:B,2,FALSE),"")</f>
        <v/>
      </c>
      <c r="E716" t="e">
        <f t="shared" si="22"/>
        <v>#VALUE!</v>
      </c>
      <c r="F716" t="str">
        <f t="shared" si="23"/>
        <v/>
      </c>
    </row>
    <row r="717" spans="4:6" x14ac:dyDescent="0.25">
      <c r="D717" t="str">
        <f>IFERROR(VLOOKUP(B717,PRODUCTOS!A:B,2,FALSE),"")</f>
        <v/>
      </c>
      <c r="E717" t="e">
        <f t="shared" si="22"/>
        <v>#VALUE!</v>
      </c>
      <c r="F717" t="str">
        <f t="shared" si="23"/>
        <v/>
      </c>
    </row>
    <row r="718" spans="4:6" x14ac:dyDescent="0.25">
      <c r="D718" t="str">
        <f>IFERROR(VLOOKUP(B718,PRODUCTOS!A:B,2,FALSE),"")</f>
        <v/>
      </c>
      <c r="E718" t="e">
        <f t="shared" si="22"/>
        <v>#VALUE!</v>
      </c>
      <c r="F718" t="str">
        <f t="shared" si="23"/>
        <v/>
      </c>
    </row>
    <row r="719" spans="4:6" x14ac:dyDescent="0.25">
      <c r="D719" t="str">
        <f>IFERROR(VLOOKUP(B719,PRODUCTOS!A:B,2,FALSE),"")</f>
        <v/>
      </c>
      <c r="E719" t="e">
        <f t="shared" si="22"/>
        <v>#VALUE!</v>
      </c>
      <c r="F719" t="str">
        <f t="shared" si="23"/>
        <v/>
      </c>
    </row>
    <row r="720" spans="4:6" x14ac:dyDescent="0.25">
      <c r="D720" t="str">
        <f>IFERROR(VLOOKUP(B720,PRODUCTOS!A:B,2,FALSE),"")</f>
        <v/>
      </c>
      <c r="E720" t="e">
        <f t="shared" si="22"/>
        <v>#VALUE!</v>
      </c>
      <c r="F720" t="str">
        <f t="shared" si="23"/>
        <v/>
      </c>
    </row>
    <row r="721" spans="4:6" x14ac:dyDescent="0.25">
      <c r="D721" t="str">
        <f>IFERROR(VLOOKUP(B721,PRODUCTOS!A:B,2,FALSE),"")</f>
        <v/>
      </c>
      <c r="E721" t="e">
        <f t="shared" si="22"/>
        <v>#VALUE!</v>
      </c>
      <c r="F721" t="str">
        <f t="shared" si="23"/>
        <v/>
      </c>
    </row>
    <row r="722" spans="4:6" x14ac:dyDescent="0.25">
      <c r="D722" t="str">
        <f>IFERROR(VLOOKUP(B722,PRODUCTOS!A:B,2,FALSE),"")</f>
        <v/>
      </c>
      <c r="E722" t="e">
        <f t="shared" si="22"/>
        <v>#VALUE!</v>
      </c>
      <c r="F722" t="str">
        <f t="shared" si="23"/>
        <v/>
      </c>
    </row>
    <row r="723" spans="4:6" x14ac:dyDescent="0.25">
      <c r="D723" t="str">
        <f>IFERROR(VLOOKUP(B723,PRODUCTOS!A:B,2,FALSE),"")</f>
        <v/>
      </c>
      <c r="E723" t="e">
        <f t="shared" si="22"/>
        <v>#VALUE!</v>
      </c>
      <c r="F723" t="str">
        <f t="shared" si="23"/>
        <v/>
      </c>
    </row>
    <row r="724" spans="4:6" x14ac:dyDescent="0.25">
      <c r="D724" t="str">
        <f>IFERROR(VLOOKUP(B724,PRODUCTOS!A:B,2,FALSE),"")</f>
        <v/>
      </c>
      <c r="E724" t="e">
        <f t="shared" si="22"/>
        <v>#VALUE!</v>
      </c>
      <c r="F724" t="str">
        <f t="shared" si="23"/>
        <v/>
      </c>
    </row>
    <row r="725" spans="4:6" x14ac:dyDescent="0.25">
      <c r="D725" t="str">
        <f>IFERROR(VLOOKUP(B725,PRODUCTOS!A:B,2,FALSE),"")</f>
        <v/>
      </c>
      <c r="E725" t="e">
        <f t="shared" si="22"/>
        <v>#VALUE!</v>
      </c>
      <c r="F725" t="str">
        <f t="shared" si="23"/>
        <v/>
      </c>
    </row>
    <row r="726" spans="4:6" x14ac:dyDescent="0.25">
      <c r="D726" t="str">
        <f>IFERROR(VLOOKUP(B726,PRODUCTOS!A:B,2,FALSE),"")</f>
        <v/>
      </c>
      <c r="E726" t="e">
        <f t="shared" si="22"/>
        <v>#VALUE!</v>
      </c>
      <c r="F726" t="str">
        <f t="shared" si="23"/>
        <v/>
      </c>
    </row>
    <row r="727" spans="4:6" x14ac:dyDescent="0.25">
      <c r="D727" t="str">
        <f>IFERROR(VLOOKUP(B727,PRODUCTOS!A:B,2,FALSE),"")</f>
        <v/>
      </c>
      <c r="E727" t="e">
        <f t="shared" si="22"/>
        <v>#VALUE!</v>
      </c>
      <c r="F727" t="str">
        <f t="shared" si="23"/>
        <v/>
      </c>
    </row>
    <row r="728" spans="4:6" x14ac:dyDescent="0.25">
      <c r="D728" t="str">
        <f>IFERROR(VLOOKUP(B728,PRODUCTOS!A:B,2,FALSE),"")</f>
        <v/>
      </c>
      <c r="E728" t="e">
        <f t="shared" si="22"/>
        <v>#VALUE!</v>
      </c>
      <c r="F728" t="str">
        <f t="shared" si="23"/>
        <v/>
      </c>
    </row>
    <row r="729" spans="4:6" x14ac:dyDescent="0.25">
      <c r="D729" t="str">
        <f>IFERROR(VLOOKUP(B729,PRODUCTOS!A:B,2,FALSE),"")</f>
        <v/>
      </c>
      <c r="E729" t="e">
        <f t="shared" si="22"/>
        <v>#VALUE!</v>
      </c>
      <c r="F729" t="str">
        <f t="shared" si="23"/>
        <v/>
      </c>
    </row>
    <row r="730" spans="4:6" x14ac:dyDescent="0.25">
      <c r="D730" t="str">
        <f>IFERROR(VLOOKUP(B730,PRODUCTOS!A:B,2,FALSE),"")</f>
        <v/>
      </c>
      <c r="E730" t="e">
        <f t="shared" si="22"/>
        <v>#VALUE!</v>
      </c>
      <c r="F730" t="str">
        <f t="shared" si="23"/>
        <v/>
      </c>
    </row>
    <row r="731" spans="4:6" x14ac:dyDescent="0.25">
      <c r="D731" t="str">
        <f>IFERROR(VLOOKUP(B731,PRODUCTOS!A:B,2,FALSE),"")</f>
        <v/>
      </c>
      <c r="E731" t="e">
        <f t="shared" si="22"/>
        <v>#VALUE!</v>
      </c>
      <c r="F731" t="str">
        <f t="shared" si="23"/>
        <v/>
      </c>
    </row>
    <row r="732" spans="4:6" x14ac:dyDescent="0.25">
      <c r="D732" t="str">
        <f>IFERROR(VLOOKUP(B732,PRODUCTOS!A:B,2,FALSE),"")</f>
        <v/>
      </c>
      <c r="E732" t="e">
        <f t="shared" si="22"/>
        <v>#VALUE!</v>
      </c>
      <c r="F732" t="str">
        <f t="shared" si="23"/>
        <v/>
      </c>
    </row>
    <row r="733" spans="4:6" x14ac:dyDescent="0.25">
      <c r="D733" t="str">
        <f>IFERROR(VLOOKUP(B733,PRODUCTOS!A:B,2,FALSE),"")</f>
        <v/>
      </c>
      <c r="E733" t="e">
        <f t="shared" si="22"/>
        <v>#VALUE!</v>
      </c>
      <c r="F733" t="str">
        <f t="shared" si="23"/>
        <v/>
      </c>
    </row>
    <row r="734" spans="4:6" x14ac:dyDescent="0.25">
      <c r="D734" t="str">
        <f>IFERROR(VLOOKUP(B734,PRODUCTOS!A:B,2,FALSE),"")</f>
        <v/>
      </c>
      <c r="E734" t="e">
        <f t="shared" si="22"/>
        <v>#VALUE!</v>
      </c>
      <c r="F734" t="str">
        <f t="shared" si="23"/>
        <v/>
      </c>
    </row>
    <row r="735" spans="4:6" x14ac:dyDescent="0.25">
      <c r="D735" t="str">
        <f>IFERROR(VLOOKUP(B735,PRODUCTOS!A:B,2,FALSE),"")</f>
        <v/>
      </c>
      <c r="E735" t="e">
        <f t="shared" si="22"/>
        <v>#VALUE!</v>
      </c>
      <c r="F735" t="str">
        <f t="shared" si="23"/>
        <v/>
      </c>
    </row>
    <row r="736" spans="4:6" x14ac:dyDescent="0.25">
      <c r="D736" t="str">
        <f>IFERROR(VLOOKUP(B736,PRODUCTOS!A:B,2,FALSE),"")</f>
        <v/>
      </c>
      <c r="E736" t="e">
        <f t="shared" si="22"/>
        <v>#VALUE!</v>
      </c>
      <c r="F736" t="str">
        <f t="shared" si="23"/>
        <v/>
      </c>
    </row>
    <row r="737" spans="4:6" x14ac:dyDescent="0.25">
      <c r="D737" t="str">
        <f>IFERROR(VLOOKUP(B737,PRODUCTOS!A:B,2,FALSE),"")</f>
        <v/>
      </c>
      <c r="E737" t="e">
        <f t="shared" si="22"/>
        <v>#VALUE!</v>
      </c>
      <c r="F737" t="str">
        <f t="shared" si="23"/>
        <v/>
      </c>
    </row>
    <row r="738" spans="4:6" x14ac:dyDescent="0.25">
      <c r="D738" t="str">
        <f>IFERROR(VLOOKUP(B738,PRODUCTOS!A:B,2,FALSE),"")</f>
        <v/>
      </c>
      <c r="E738" t="e">
        <f t="shared" si="22"/>
        <v>#VALUE!</v>
      </c>
      <c r="F738" t="str">
        <f t="shared" si="23"/>
        <v/>
      </c>
    </row>
    <row r="739" spans="4:6" x14ac:dyDescent="0.25">
      <c r="D739" t="str">
        <f>IFERROR(VLOOKUP(B739,PRODUCTOS!A:B,2,FALSE),"")</f>
        <v/>
      </c>
      <c r="E739" t="e">
        <f t="shared" si="22"/>
        <v>#VALUE!</v>
      </c>
      <c r="F739" t="str">
        <f t="shared" si="23"/>
        <v/>
      </c>
    </row>
    <row r="740" spans="4:6" x14ac:dyDescent="0.25">
      <c r="D740" t="str">
        <f>IFERROR(VLOOKUP(B740,PRODUCTOS!A:B,2,FALSE),"")</f>
        <v/>
      </c>
      <c r="E740" t="e">
        <f t="shared" si="22"/>
        <v>#VALUE!</v>
      </c>
      <c r="F740" t="str">
        <f t="shared" si="23"/>
        <v/>
      </c>
    </row>
    <row r="741" spans="4:6" x14ac:dyDescent="0.25">
      <c r="D741" t="str">
        <f>IFERROR(VLOOKUP(B741,PRODUCTOS!A:B,2,FALSE),"")</f>
        <v/>
      </c>
      <c r="E741" t="e">
        <f t="shared" si="22"/>
        <v>#VALUE!</v>
      </c>
      <c r="F741" t="str">
        <f t="shared" si="23"/>
        <v/>
      </c>
    </row>
    <row r="742" spans="4:6" x14ac:dyDescent="0.25">
      <c r="D742" t="str">
        <f>IFERROR(VLOOKUP(B742,PRODUCTOS!A:B,2,FALSE),"")</f>
        <v/>
      </c>
      <c r="E742" t="e">
        <f t="shared" si="22"/>
        <v>#VALUE!</v>
      </c>
      <c r="F742" t="str">
        <f t="shared" si="23"/>
        <v/>
      </c>
    </row>
    <row r="743" spans="4:6" x14ac:dyDescent="0.25">
      <c r="D743" t="str">
        <f>IFERROR(VLOOKUP(B743,PRODUCTOS!A:B,2,FALSE),"")</f>
        <v/>
      </c>
      <c r="E743" t="e">
        <f t="shared" si="22"/>
        <v>#VALUE!</v>
      </c>
      <c r="F743" t="str">
        <f t="shared" si="23"/>
        <v/>
      </c>
    </row>
    <row r="744" spans="4:6" x14ac:dyDescent="0.25">
      <c r="D744" t="str">
        <f>IFERROR(VLOOKUP(B744,PRODUCTOS!A:B,2,FALSE),"")</f>
        <v/>
      </c>
      <c r="E744" t="e">
        <f t="shared" si="22"/>
        <v>#VALUE!</v>
      </c>
      <c r="F744" t="str">
        <f t="shared" si="23"/>
        <v/>
      </c>
    </row>
    <row r="745" spans="4:6" x14ac:dyDescent="0.25">
      <c r="D745" t="str">
        <f>IFERROR(VLOOKUP(B745,PRODUCTOS!A:B,2,FALSE),"")</f>
        <v/>
      </c>
      <c r="E745" t="e">
        <f t="shared" si="22"/>
        <v>#VALUE!</v>
      </c>
      <c r="F745" t="str">
        <f t="shared" si="23"/>
        <v/>
      </c>
    </row>
    <row r="746" spans="4:6" x14ac:dyDescent="0.25">
      <c r="D746" t="str">
        <f>IFERROR(VLOOKUP(B746,PRODUCTOS!A:B,2,FALSE),"")</f>
        <v/>
      </c>
      <c r="E746" t="e">
        <f t="shared" si="22"/>
        <v>#VALUE!</v>
      </c>
      <c r="F746" t="str">
        <f t="shared" si="23"/>
        <v/>
      </c>
    </row>
    <row r="747" spans="4:6" x14ac:dyDescent="0.25">
      <c r="D747" t="str">
        <f>IFERROR(VLOOKUP(B747,PRODUCTOS!A:B,2,FALSE),"")</f>
        <v/>
      </c>
      <c r="E747" t="e">
        <f t="shared" si="22"/>
        <v>#VALUE!</v>
      </c>
      <c r="F747" t="str">
        <f t="shared" si="23"/>
        <v/>
      </c>
    </row>
    <row r="748" spans="4:6" x14ac:dyDescent="0.25">
      <c r="D748" t="str">
        <f>IFERROR(VLOOKUP(B748,PRODUCTOS!A:B,2,FALSE),"")</f>
        <v/>
      </c>
      <c r="E748" t="e">
        <f t="shared" si="22"/>
        <v>#VALUE!</v>
      </c>
      <c r="F748" t="str">
        <f t="shared" si="23"/>
        <v/>
      </c>
    </row>
    <row r="749" spans="4:6" x14ac:dyDescent="0.25">
      <c r="D749" t="str">
        <f>IFERROR(VLOOKUP(B749,PRODUCTOS!A:B,2,FALSE),"")</f>
        <v/>
      </c>
      <c r="E749" t="e">
        <f t="shared" si="22"/>
        <v>#VALUE!</v>
      </c>
      <c r="F749" t="str">
        <f t="shared" si="23"/>
        <v/>
      </c>
    </row>
    <row r="750" spans="4:6" x14ac:dyDescent="0.25">
      <c r="D750" t="str">
        <f>IFERROR(VLOOKUP(B750,PRODUCTOS!A:B,2,FALSE),"")</f>
        <v/>
      </c>
      <c r="E750" t="e">
        <f t="shared" si="22"/>
        <v>#VALUE!</v>
      </c>
      <c r="F750" t="str">
        <f t="shared" si="23"/>
        <v/>
      </c>
    </row>
    <row r="751" spans="4:6" x14ac:dyDescent="0.25">
      <c r="D751" t="str">
        <f>IFERROR(VLOOKUP(B751,PRODUCTOS!A:B,2,FALSE),"")</f>
        <v/>
      </c>
      <c r="E751" t="e">
        <f t="shared" si="22"/>
        <v>#VALUE!</v>
      </c>
      <c r="F751" t="str">
        <f t="shared" si="23"/>
        <v/>
      </c>
    </row>
    <row r="752" spans="4:6" x14ac:dyDescent="0.25">
      <c r="D752" t="str">
        <f>IFERROR(VLOOKUP(B752,PRODUCTOS!A:B,2,FALSE),"")</f>
        <v/>
      </c>
      <c r="E752" t="e">
        <f t="shared" si="22"/>
        <v>#VALUE!</v>
      </c>
      <c r="F752" t="str">
        <f t="shared" si="23"/>
        <v/>
      </c>
    </row>
    <row r="753" spans="4:6" x14ac:dyDescent="0.25">
      <c r="D753" t="str">
        <f>IFERROR(VLOOKUP(B753,PRODUCTOS!A:B,2,FALSE),"")</f>
        <v/>
      </c>
      <c r="E753" t="e">
        <f t="shared" si="22"/>
        <v>#VALUE!</v>
      </c>
      <c r="F753" t="str">
        <f t="shared" si="23"/>
        <v/>
      </c>
    </row>
    <row r="754" spans="4:6" x14ac:dyDescent="0.25">
      <c r="D754" t="str">
        <f>IFERROR(VLOOKUP(B754,PRODUCTOS!A:B,2,FALSE),"")</f>
        <v/>
      </c>
      <c r="E754" t="e">
        <f t="shared" si="22"/>
        <v>#VALUE!</v>
      </c>
      <c r="F754" t="str">
        <f t="shared" si="23"/>
        <v/>
      </c>
    </row>
    <row r="755" spans="4:6" x14ac:dyDescent="0.25">
      <c r="D755" t="str">
        <f>IFERROR(VLOOKUP(B755,PRODUCTOS!A:B,2,FALSE),"")</f>
        <v/>
      </c>
      <c r="E755" t="e">
        <f t="shared" si="22"/>
        <v>#VALUE!</v>
      </c>
      <c r="F755" t="str">
        <f t="shared" si="23"/>
        <v/>
      </c>
    </row>
    <row r="756" spans="4:6" x14ac:dyDescent="0.25">
      <c r="D756" t="str">
        <f>IFERROR(VLOOKUP(B756,PRODUCTOS!A:B,2,FALSE),"")</f>
        <v/>
      </c>
      <c r="E756" t="e">
        <f t="shared" si="22"/>
        <v>#VALUE!</v>
      </c>
      <c r="F756" t="str">
        <f t="shared" si="23"/>
        <v/>
      </c>
    </row>
    <row r="757" spans="4:6" x14ac:dyDescent="0.25">
      <c r="D757" t="str">
        <f>IFERROR(VLOOKUP(B757,PRODUCTOS!A:B,2,FALSE),"")</f>
        <v/>
      </c>
      <c r="E757" t="e">
        <f t="shared" si="22"/>
        <v>#VALUE!</v>
      </c>
      <c r="F757" t="str">
        <f t="shared" si="23"/>
        <v/>
      </c>
    </row>
    <row r="758" spans="4:6" x14ac:dyDescent="0.25">
      <c r="D758" t="str">
        <f>IFERROR(VLOOKUP(B758,PRODUCTOS!A:B,2,FALSE),"")</f>
        <v/>
      </c>
      <c r="E758" t="e">
        <f t="shared" si="22"/>
        <v>#VALUE!</v>
      </c>
      <c r="F758" t="str">
        <f t="shared" si="23"/>
        <v/>
      </c>
    </row>
    <row r="759" spans="4:6" x14ac:dyDescent="0.25">
      <c r="D759" t="str">
        <f>IFERROR(VLOOKUP(B759,PRODUCTOS!A:B,2,FALSE),"")</f>
        <v/>
      </c>
      <c r="E759" t="e">
        <f t="shared" si="22"/>
        <v>#VALUE!</v>
      </c>
      <c r="F759" t="str">
        <f t="shared" si="23"/>
        <v/>
      </c>
    </row>
    <row r="760" spans="4:6" x14ac:dyDescent="0.25">
      <c r="D760" t="str">
        <f>IFERROR(VLOOKUP(B760,PRODUCTOS!A:B,2,FALSE),"")</f>
        <v/>
      </c>
      <c r="E760" t="e">
        <f t="shared" si="22"/>
        <v>#VALUE!</v>
      </c>
      <c r="F760" t="str">
        <f t="shared" si="23"/>
        <v/>
      </c>
    </row>
    <row r="761" spans="4:6" x14ac:dyDescent="0.25">
      <c r="D761" t="str">
        <f>IFERROR(VLOOKUP(B761,PRODUCTOS!A:B,2,FALSE),"")</f>
        <v/>
      </c>
      <c r="E761" t="e">
        <f t="shared" si="22"/>
        <v>#VALUE!</v>
      </c>
      <c r="F761" t="str">
        <f t="shared" si="23"/>
        <v/>
      </c>
    </row>
    <row r="762" spans="4:6" x14ac:dyDescent="0.25">
      <c r="D762" t="str">
        <f>IFERROR(VLOOKUP(B762,PRODUCTOS!A:B,2,FALSE),"")</f>
        <v/>
      </c>
      <c r="E762" t="e">
        <f t="shared" si="22"/>
        <v>#VALUE!</v>
      </c>
      <c r="F762" t="str">
        <f t="shared" si="23"/>
        <v/>
      </c>
    </row>
    <row r="763" spans="4:6" x14ac:dyDescent="0.25">
      <c r="D763" t="str">
        <f>IFERROR(VLOOKUP(B763,PRODUCTOS!A:B,2,FALSE),"")</f>
        <v/>
      </c>
      <c r="E763" t="e">
        <f t="shared" si="22"/>
        <v>#VALUE!</v>
      </c>
      <c r="F763" t="str">
        <f t="shared" si="23"/>
        <v/>
      </c>
    </row>
    <row r="764" spans="4:6" x14ac:dyDescent="0.25">
      <c r="D764" t="str">
        <f>IFERROR(VLOOKUP(B764,PRODUCTOS!A:B,2,FALSE),"")</f>
        <v/>
      </c>
      <c r="E764" t="e">
        <f t="shared" si="22"/>
        <v>#VALUE!</v>
      </c>
      <c r="F764" t="str">
        <f t="shared" si="23"/>
        <v/>
      </c>
    </row>
    <row r="765" spans="4:6" x14ac:dyDescent="0.25">
      <c r="D765" t="str">
        <f>IFERROR(VLOOKUP(B765,PRODUCTOS!A:B,2,FALSE),"")</f>
        <v/>
      </c>
      <c r="E765" t="e">
        <f t="shared" si="22"/>
        <v>#VALUE!</v>
      </c>
      <c r="F765" t="str">
        <f t="shared" si="23"/>
        <v/>
      </c>
    </row>
    <row r="766" spans="4:6" x14ac:dyDescent="0.25">
      <c r="D766" t="str">
        <f>IFERROR(VLOOKUP(B766,PRODUCTOS!A:B,2,FALSE),"")</f>
        <v/>
      </c>
      <c r="E766" t="e">
        <f t="shared" si="22"/>
        <v>#VALUE!</v>
      </c>
      <c r="F766" t="str">
        <f t="shared" si="23"/>
        <v/>
      </c>
    </row>
    <row r="767" spans="4:6" x14ac:dyDescent="0.25">
      <c r="D767" t="str">
        <f>IFERROR(VLOOKUP(B767,PRODUCTOS!A:B,2,FALSE),"")</f>
        <v/>
      </c>
      <c r="E767" t="e">
        <f t="shared" si="22"/>
        <v>#VALUE!</v>
      </c>
      <c r="F767" t="str">
        <f t="shared" si="23"/>
        <v/>
      </c>
    </row>
    <row r="768" spans="4:6" x14ac:dyDescent="0.25">
      <c r="D768" t="str">
        <f>IFERROR(VLOOKUP(B768,PRODUCTOS!A:B,2,FALSE),"")</f>
        <v/>
      </c>
      <c r="E768" t="e">
        <f t="shared" si="22"/>
        <v>#VALUE!</v>
      </c>
      <c r="F768" t="str">
        <f t="shared" si="23"/>
        <v/>
      </c>
    </row>
    <row r="769" spans="4:6" x14ac:dyDescent="0.25">
      <c r="D769" t="str">
        <f>IFERROR(VLOOKUP(B769,PRODUCTOS!A:B,2,FALSE),"")</f>
        <v/>
      </c>
      <c r="E769" t="e">
        <f t="shared" si="22"/>
        <v>#VALUE!</v>
      </c>
      <c r="F769" t="str">
        <f t="shared" si="23"/>
        <v/>
      </c>
    </row>
    <row r="770" spans="4:6" x14ac:dyDescent="0.25">
      <c r="D770" t="str">
        <f>IFERROR(VLOOKUP(B770,PRODUCTOS!A:B,2,FALSE),"")</f>
        <v/>
      </c>
      <c r="E770" t="e">
        <f t="shared" ref="E770:E833" si="24">C770*D770</f>
        <v>#VALUE!</v>
      </c>
      <c r="F770" t="str">
        <f t="shared" ref="F770:F833" si="25">IF(A770="","",TEXT(A770,"yyyy-mm"))</f>
        <v/>
      </c>
    </row>
    <row r="771" spans="4:6" x14ac:dyDescent="0.25">
      <c r="D771" t="str">
        <f>IFERROR(VLOOKUP(B771,PRODUCTOS!A:B,2,FALSE),"")</f>
        <v/>
      </c>
      <c r="E771" t="e">
        <f t="shared" si="24"/>
        <v>#VALUE!</v>
      </c>
      <c r="F771" t="str">
        <f t="shared" si="25"/>
        <v/>
      </c>
    </row>
    <row r="772" spans="4:6" x14ac:dyDescent="0.25">
      <c r="D772" t="str">
        <f>IFERROR(VLOOKUP(B772,PRODUCTOS!A:B,2,FALSE),"")</f>
        <v/>
      </c>
      <c r="E772" t="e">
        <f t="shared" si="24"/>
        <v>#VALUE!</v>
      </c>
      <c r="F772" t="str">
        <f t="shared" si="25"/>
        <v/>
      </c>
    </row>
    <row r="773" spans="4:6" x14ac:dyDescent="0.25">
      <c r="D773" t="str">
        <f>IFERROR(VLOOKUP(B773,PRODUCTOS!A:B,2,FALSE),"")</f>
        <v/>
      </c>
      <c r="E773" t="e">
        <f t="shared" si="24"/>
        <v>#VALUE!</v>
      </c>
      <c r="F773" t="str">
        <f t="shared" si="25"/>
        <v/>
      </c>
    </row>
    <row r="774" spans="4:6" x14ac:dyDescent="0.25">
      <c r="D774" t="str">
        <f>IFERROR(VLOOKUP(B774,PRODUCTOS!A:B,2,FALSE),"")</f>
        <v/>
      </c>
      <c r="E774" t="e">
        <f t="shared" si="24"/>
        <v>#VALUE!</v>
      </c>
      <c r="F774" t="str">
        <f t="shared" si="25"/>
        <v/>
      </c>
    </row>
    <row r="775" spans="4:6" x14ac:dyDescent="0.25">
      <c r="D775" t="str">
        <f>IFERROR(VLOOKUP(B775,PRODUCTOS!A:B,2,FALSE),"")</f>
        <v/>
      </c>
      <c r="E775" t="e">
        <f t="shared" si="24"/>
        <v>#VALUE!</v>
      </c>
      <c r="F775" t="str">
        <f t="shared" si="25"/>
        <v/>
      </c>
    </row>
    <row r="776" spans="4:6" x14ac:dyDescent="0.25">
      <c r="D776" t="str">
        <f>IFERROR(VLOOKUP(B776,PRODUCTOS!A:B,2,FALSE),"")</f>
        <v/>
      </c>
      <c r="E776" t="e">
        <f t="shared" si="24"/>
        <v>#VALUE!</v>
      </c>
      <c r="F776" t="str">
        <f t="shared" si="25"/>
        <v/>
      </c>
    </row>
    <row r="777" spans="4:6" x14ac:dyDescent="0.25">
      <c r="D777" t="str">
        <f>IFERROR(VLOOKUP(B777,PRODUCTOS!A:B,2,FALSE),"")</f>
        <v/>
      </c>
      <c r="E777" t="e">
        <f t="shared" si="24"/>
        <v>#VALUE!</v>
      </c>
      <c r="F777" t="str">
        <f t="shared" si="25"/>
        <v/>
      </c>
    </row>
    <row r="778" spans="4:6" x14ac:dyDescent="0.25">
      <c r="D778" t="str">
        <f>IFERROR(VLOOKUP(B778,PRODUCTOS!A:B,2,FALSE),"")</f>
        <v/>
      </c>
      <c r="E778" t="e">
        <f t="shared" si="24"/>
        <v>#VALUE!</v>
      </c>
      <c r="F778" t="str">
        <f t="shared" si="25"/>
        <v/>
      </c>
    </row>
    <row r="779" spans="4:6" x14ac:dyDescent="0.25">
      <c r="D779" t="str">
        <f>IFERROR(VLOOKUP(B779,PRODUCTOS!A:B,2,FALSE),"")</f>
        <v/>
      </c>
      <c r="E779" t="e">
        <f t="shared" si="24"/>
        <v>#VALUE!</v>
      </c>
      <c r="F779" t="str">
        <f t="shared" si="25"/>
        <v/>
      </c>
    </row>
    <row r="780" spans="4:6" x14ac:dyDescent="0.25">
      <c r="D780" t="str">
        <f>IFERROR(VLOOKUP(B780,PRODUCTOS!A:B,2,FALSE),"")</f>
        <v/>
      </c>
      <c r="E780" t="e">
        <f t="shared" si="24"/>
        <v>#VALUE!</v>
      </c>
      <c r="F780" t="str">
        <f t="shared" si="25"/>
        <v/>
      </c>
    </row>
    <row r="781" spans="4:6" x14ac:dyDescent="0.25">
      <c r="D781" t="str">
        <f>IFERROR(VLOOKUP(B781,PRODUCTOS!A:B,2,FALSE),"")</f>
        <v/>
      </c>
      <c r="E781" t="e">
        <f t="shared" si="24"/>
        <v>#VALUE!</v>
      </c>
      <c r="F781" t="str">
        <f t="shared" si="25"/>
        <v/>
      </c>
    </row>
    <row r="782" spans="4:6" x14ac:dyDescent="0.25">
      <c r="D782" t="str">
        <f>IFERROR(VLOOKUP(B782,PRODUCTOS!A:B,2,FALSE),"")</f>
        <v/>
      </c>
      <c r="E782" t="e">
        <f t="shared" si="24"/>
        <v>#VALUE!</v>
      </c>
      <c r="F782" t="str">
        <f t="shared" si="25"/>
        <v/>
      </c>
    </row>
    <row r="783" spans="4:6" x14ac:dyDescent="0.25">
      <c r="D783" t="str">
        <f>IFERROR(VLOOKUP(B783,PRODUCTOS!A:B,2,FALSE),"")</f>
        <v/>
      </c>
      <c r="E783" t="e">
        <f t="shared" si="24"/>
        <v>#VALUE!</v>
      </c>
      <c r="F783" t="str">
        <f t="shared" si="25"/>
        <v/>
      </c>
    </row>
    <row r="784" spans="4:6" x14ac:dyDescent="0.25">
      <c r="D784" t="str">
        <f>IFERROR(VLOOKUP(B784,PRODUCTOS!A:B,2,FALSE),"")</f>
        <v/>
      </c>
      <c r="E784" t="e">
        <f t="shared" si="24"/>
        <v>#VALUE!</v>
      </c>
      <c r="F784" t="str">
        <f t="shared" si="25"/>
        <v/>
      </c>
    </row>
    <row r="785" spans="4:6" x14ac:dyDescent="0.25">
      <c r="D785" t="str">
        <f>IFERROR(VLOOKUP(B785,PRODUCTOS!A:B,2,FALSE),"")</f>
        <v/>
      </c>
      <c r="E785" t="e">
        <f t="shared" si="24"/>
        <v>#VALUE!</v>
      </c>
      <c r="F785" t="str">
        <f t="shared" si="25"/>
        <v/>
      </c>
    </row>
    <row r="786" spans="4:6" x14ac:dyDescent="0.25">
      <c r="D786" t="str">
        <f>IFERROR(VLOOKUP(B786,PRODUCTOS!A:B,2,FALSE),"")</f>
        <v/>
      </c>
      <c r="E786" t="e">
        <f t="shared" si="24"/>
        <v>#VALUE!</v>
      </c>
      <c r="F786" t="str">
        <f t="shared" si="25"/>
        <v/>
      </c>
    </row>
    <row r="787" spans="4:6" x14ac:dyDescent="0.25">
      <c r="D787" t="str">
        <f>IFERROR(VLOOKUP(B787,PRODUCTOS!A:B,2,FALSE),"")</f>
        <v/>
      </c>
      <c r="E787" t="e">
        <f t="shared" si="24"/>
        <v>#VALUE!</v>
      </c>
      <c r="F787" t="str">
        <f t="shared" si="25"/>
        <v/>
      </c>
    </row>
    <row r="788" spans="4:6" x14ac:dyDescent="0.25">
      <c r="D788" t="str">
        <f>IFERROR(VLOOKUP(B788,PRODUCTOS!A:B,2,FALSE),"")</f>
        <v/>
      </c>
      <c r="E788" t="e">
        <f t="shared" si="24"/>
        <v>#VALUE!</v>
      </c>
      <c r="F788" t="str">
        <f t="shared" si="25"/>
        <v/>
      </c>
    </row>
    <row r="789" spans="4:6" x14ac:dyDescent="0.25">
      <c r="D789" t="str">
        <f>IFERROR(VLOOKUP(B789,PRODUCTOS!A:B,2,FALSE),"")</f>
        <v/>
      </c>
      <c r="E789" t="e">
        <f t="shared" si="24"/>
        <v>#VALUE!</v>
      </c>
      <c r="F789" t="str">
        <f t="shared" si="25"/>
        <v/>
      </c>
    </row>
    <row r="790" spans="4:6" x14ac:dyDescent="0.25">
      <c r="D790" t="str">
        <f>IFERROR(VLOOKUP(B790,PRODUCTOS!A:B,2,FALSE),"")</f>
        <v/>
      </c>
      <c r="E790" t="e">
        <f t="shared" si="24"/>
        <v>#VALUE!</v>
      </c>
      <c r="F790" t="str">
        <f t="shared" si="25"/>
        <v/>
      </c>
    </row>
    <row r="791" spans="4:6" x14ac:dyDescent="0.25">
      <c r="D791" t="str">
        <f>IFERROR(VLOOKUP(B791,PRODUCTOS!A:B,2,FALSE),"")</f>
        <v/>
      </c>
      <c r="E791" t="e">
        <f t="shared" si="24"/>
        <v>#VALUE!</v>
      </c>
      <c r="F791" t="str">
        <f t="shared" si="25"/>
        <v/>
      </c>
    </row>
    <row r="792" spans="4:6" x14ac:dyDescent="0.25">
      <c r="D792" t="str">
        <f>IFERROR(VLOOKUP(B792,PRODUCTOS!A:B,2,FALSE),"")</f>
        <v/>
      </c>
      <c r="E792" t="e">
        <f t="shared" si="24"/>
        <v>#VALUE!</v>
      </c>
      <c r="F792" t="str">
        <f t="shared" si="25"/>
        <v/>
      </c>
    </row>
    <row r="793" spans="4:6" x14ac:dyDescent="0.25">
      <c r="D793" t="str">
        <f>IFERROR(VLOOKUP(B793,PRODUCTOS!A:B,2,FALSE),"")</f>
        <v/>
      </c>
      <c r="E793" t="e">
        <f t="shared" si="24"/>
        <v>#VALUE!</v>
      </c>
      <c r="F793" t="str">
        <f t="shared" si="25"/>
        <v/>
      </c>
    </row>
    <row r="794" spans="4:6" x14ac:dyDescent="0.25">
      <c r="D794" t="str">
        <f>IFERROR(VLOOKUP(B794,PRODUCTOS!A:B,2,FALSE),"")</f>
        <v/>
      </c>
      <c r="E794" t="e">
        <f t="shared" si="24"/>
        <v>#VALUE!</v>
      </c>
      <c r="F794" t="str">
        <f t="shared" si="25"/>
        <v/>
      </c>
    </row>
    <row r="795" spans="4:6" x14ac:dyDescent="0.25">
      <c r="D795" t="str">
        <f>IFERROR(VLOOKUP(B795,PRODUCTOS!A:B,2,FALSE),"")</f>
        <v/>
      </c>
      <c r="E795" t="e">
        <f t="shared" si="24"/>
        <v>#VALUE!</v>
      </c>
      <c r="F795" t="str">
        <f t="shared" si="25"/>
        <v/>
      </c>
    </row>
    <row r="796" spans="4:6" x14ac:dyDescent="0.25">
      <c r="D796" t="str">
        <f>IFERROR(VLOOKUP(B796,PRODUCTOS!A:B,2,FALSE),"")</f>
        <v/>
      </c>
      <c r="E796" t="e">
        <f t="shared" si="24"/>
        <v>#VALUE!</v>
      </c>
      <c r="F796" t="str">
        <f t="shared" si="25"/>
        <v/>
      </c>
    </row>
    <row r="797" spans="4:6" x14ac:dyDescent="0.25">
      <c r="D797" t="str">
        <f>IFERROR(VLOOKUP(B797,PRODUCTOS!A:B,2,FALSE),"")</f>
        <v/>
      </c>
      <c r="E797" t="e">
        <f t="shared" si="24"/>
        <v>#VALUE!</v>
      </c>
      <c r="F797" t="str">
        <f t="shared" si="25"/>
        <v/>
      </c>
    </row>
    <row r="798" spans="4:6" x14ac:dyDescent="0.25">
      <c r="D798" t="str">
        <f>IFERROR(VLOOKUP(B798,PRODUCTOS!A:B,2,FALSE),"")</f>
        <v/>
      </c>
      <c r="E798" t="e">
        <f t="shared" si="24"/>
        <v>#VALUE!</v>
      </c>
      <c r="F798" t="str">
        <f t="shared" si="25"/>
        <v/>
      </c>
    </row>
    <row r="799" spans="4:6" x14ac:dyDescent="0.25">
      <c r="D799" t="str">
        <f>IFERROR(VLOOKUP(B799,PRODUCTOS!A:B,2,FALSE),"")</f>
        <v/>
      </c>
      <c r="E799" t="e">
        <f t="shared" si="24"/>
        <v>#VALUE!</v>
      </c>
      <c r="F799" t="str">
        <f t="shared" si="25"/>
        <v/>
      </c>
    </row>
    <row r="800" spans="4:6" x14ac:dyDescent="0.25">
      <c r="D800" t="str">
        <f>IFERROR(VLOOKUP(B800,PRODUCTOS!A:B,2,FALSE),"")</f>
        <v/>
      </c>
      <c r="E800" t="e">
        <f t="shared" si="24"/>
        <v>#VALUE!</v>
      </c>
      <c r="F800" t="str">
        <f t="shared" si="25"/>
        <v/>
      </c>
    </row>
    <row r="801" spans="4:6" x14ac:dyDescent="0.25">
      <c r="D801" t="str">
        <f>IFERROR(VLOOKUP(B801,PRODUCTOS!A:B,2,FALSE),"")</f>
        <v/>
      </c>
      <c r="E801" t="e">
        <f t="shared" si="24"/>
        <v>#VALUE!</v>
      </c>
      <c r="F801" t="str">
        <f t="shared" si="25"/>
        <v/>
      </c>
    </row>
    <row r="802" spans="4:6" x14ac:dyDescent="0.25">
      <c r="D802" t="str">
        <f>IFERROR(VLOOKUP(B802,PRODUCTOS!A:B,2,FALSE),"")</f>
        <v/>
      </c>
      <c r="E802" t="e">
        <f t="shared" si="24"/>
        <v>#VALUE!</v>
      </c>
      <c r="F802" t="str">
        <f t="shared" si="25"/>
        <v/>
      </c>
    </row>
    <row r="803" spans="4:6" x14ac:dyDescent="0.25">
      <c r="D803" t="str">
        <f>IFERROR(VLOOKUP(B803,PRODUCTOS!A:B,2,FALSE),"")</f>
        <v/>
      </c>
      <c r="E803" t="e">
        <f t="shared" si="24"/>
        <v>#VALUE!</v>
      </c>
      <c r="F803" t="str">
        <f t="shared" si="25"/>
        <v/>
      </c>
    </row>
    <row r="804" spans="4:6" x14ac:dyDescent="0.25">
      <c r="D804" t="str">
        <f>IFERROR(VLOOKUP(B804,PRODUCTOS!A:B,2,FALSE),"")</f>
        <v/>
      </c>
      <c r="E804" t="e">
        <f t="shared" si="24"/>
        <v>#VALUE!</v>
      </c>
      <c r="F804" t="str">
        <f t="shared" si="25"/>
        <v/>
      </c>
    </row>
    <row r="805" spans="4:6" x14ac:dyDescent="0.25">
      <c r="D805" t="str">
        <f>IFERROR(VLOOKUP(B805,PRODUCTOS!A:B,2,FALSE),"")</f>
        <v/>
      </c>
      <c r="E805" t="e">
        <f t="shared" si="24"/>
        <v>#VALUE!</v>
      </c>
      <c r="F805" t="str">
        <f t="shared" si="25"/>
        <v/>
      </c>
    </row>
    <row r="806" spans="4:6" x14ac:dyDescent="0.25">
      <c r="D806" t="str">
        <f>IFERROR(VLOOKUP(B806,PRODUCTOS!A:B,2,FALSE),"")</f>
        <v/>
      </c>
      <c r="E806" t="e">
        <f t="shared" si="24"/>
        <v>#VALUE!</v>
      </c>
      <c r="F806" t="str">
        <f t="shared" si="25"/>
        <v/>
      </c>
    </row>
    <row r="807" spans="4:6" x14ac:dyDescent="0.25">
      <c r="D807" t="str">
        <f>IFERROR(VLOOKUP(B807,PRODUCTOS!A:B,2,FALSE),"")</f>
        <v/>
      </c>
      <c r="E807" t="e">
        <f t="shared" si="24"/>
        <v>#VALUE!</v>
      </c>
      <c r="F807" t="str">
        <f t="shared" si="25"/>
        <v/>
      </c>
    </row>
    <row r="808" spans="4:6" x14ac:dyDescent="0.25">
      <c r="D808" t="str">
        <f>IFERROR(VLOOKUP(B808,PRODUCTOS!A:B,2,FALSE),"")</f>
        <v/>
      </c>
      <c r="E808" t="e">
        <f t="shared" si="24"/>
        <v>#VALUE!</v>
      </c>
      <c r="F808" t="str">
        <f t="shared" si="25"/>
        <v/>
      </c>
    </row>
    <row r="809" spans="4:6" x14ac:dyDescent="0.25">
      <c r="D809" t="str">
        <f>IFERROR(VLOOKUP(B809,PRODUCTOS!A:B,2,FALSE),"")</f>
        <v/>
      </c>
      <c r="E809" t="e">
        <f t="shared" si="24"/>
        <v>#VALUE!</v>
      </c>
      <c r="F809" t="str">
        <f t="shared" si="25"/>
        <v/>
      </c>
    </row>
    <row r="810" spans="4:6" x14ac:dyDescent="0.25">
      <c r="D810" t="str">
        <f>IFERROR(VLOOKUP(B810,PRODUCTOS!A:B,2,FALSE),"")</f>
        <v/>
      </c>
      <c r="E810" t="e">
        <f t="shared" si="24"/>
        <v>#VALUE!</v>
      </c>
      <c r="F810" t="str">
        <f t="shared" si="25"/>
        <v/>
      </c>
    </row>
    <row r="811" spans="4:6" x14ac:dyDescent="0.25">
      <c r="D811" t="str">
        <f>IFERROR(VLOOKUP(B811,PRODUCTOS!A:B,2,FALSE),"")</f>
        <v/>
      </c>
      <c r="E811" t="e">
        <f t="shared" si="24"/>
        <v>#VALUE!</v>
      </c>
      <c r="F811" t="str">
        <f t="shared" si="25"/>
        <v/>
      </c>
    </row>
    <row r="812" spans="4:6" x14ac:dyDescent="0.25">
      <c r="D812" t="str">
        <f>IFERROR(VLOOKUP(B812,PRODUCTOS!A:B,2,FALSE),"")</f>
        <v/>
      </c>
      <c r="E812" t="e">
        <f t="shared" si="24"/>
        <v>#VALUE!</v>
      </c>
      <c r="F812" t="str">
        <f t="shared" si="25"/>
        <v/>
      </c>
    </row>
    <row r="813" spans="4:6" x14ac:dyDescent="0.25">
      <c r="D813" t="str">
        <f>IFERROR(VLOOKUP(B813,PRODUCTOS!A:B,2,FALSE),"")</f>
        <v/>
      </c>
      <c r="E813" t="e">
        <f t="shared" si="24"/>
        <v>#VALUE!</v>
      </c>
      <c r="F813" t="str">
        <f t="shared" si="25"/>
        <v/>
      </c>
    </row>
    <row r="814" spans="4:6" x14ac:dyDescent="0.25">
      <c r="D814" t="str">
        <f>IFERROR(VLOOKUP(B814,PRODUCTOS!A:B,2,FALSE),"")</f>
        <v/>
      </c>
      <c r="E814" t="e">
        <f t="shared" si="24"/>
        <v>#VALUE!</v>
      </c>
      <c r="F814" t="str">
        <f t="shared" si="25"/>
        <v/>
      </c>
    </row>
    <row r="815" spans="4:6" x14ac:dyDescent="0.25">
      <c r="D815" t="str">
        <f>IFERROR(VLOOKUP(B815,PRODUCTOS!A:B,2,FALSE),"")</f>
        <v/>
      </c>
      <c r="E815" t="e">
        <f t="shared" si="24"/>
        <v>#VALUE!</v>
      </c>
      <c r="F815" t="str">
        <f t="shared" si="25"/>
        <v/>
      </c>
    </row>
    <row r="816" spans="4:6" x14ac:dyDescent="0.25">
      <c r="D816" t="str">
        <f>IFERROR(VLOOKUP(B816,PRODUCTOS!A:B,2,FALSE),"")</f>
        <v/>
      </c>
      <c r="E816" t="e">
        <f t="shared" si="24"/>
        <v>#VALUE!</v>
      </c>
      <c r="F816" t="str">
        <f t="shared" si="25"/>
        <v/>
      </c>
    </row>
    <row r="817" spans="4:6" x14ac:dyDescent="0.25">
      <c r="D817" t="str">
        <f>IFERROR(VLOOKUP(B817,PRODUCTOS!A:B,2,FALSE),"")</f>
        <v/>
      </c>
      <c r="E817" t="e">
        <f t="shared" si="24"/>
        <v>#VALUE!</v>
      </c>
      <c r="F817" t="str">
        <f t="shared" si="25"/>
        <v/>
      </c>
    </row>
    <row r="818" spans="4:6" x14ac:dyDescent="0.25">
      <c r="D818" t="str">
        <f>IFERROR(VLOOKUP(B818,PRODUCTOS!A:B,2,FALSE),"")</f>
        <v/>
      </c>
      <c r="E818" t="e">
        <f t="shared" si="24"/>
        <v>#VALUE!</v>
      </c>
      <c r="F818" t="str">
        <f t="shared" si="25"/>
        <v/>
      </c>
    </row>
    <row r="819" spans="4:6" x14ac:dyDescent="0.25">
      <c r="D819" t="str">
        <f>IFERROR(VLOOKUP(B819,PRODUCTOS!A:B,2,FALSE),"")</f>
        <v/>
      </c>
      <c r="E819" t="e">
        <f t="shared" si="24"/>
        <v>#VALUE!</v>
      </c>
      <c r="F819" t="str">
        <f t="shared" si="25"/>
        <v/>
      </c>
    </row>
    <row r="820" spans="4:6" x14ac:dyDescent="0.25">
      <c r="D820" t="str">
        <f>IFERROR(VLOOKUP(B820,PRODUCTOS!A:B,2,FALSE),"")</f>
        <v/>
      </c>
      <c r="E820" t="e">
        <f t="shared" si="24"/>
        <v>#VALUE!</v>
      </c>
      <c r="F820" t="str">
        <f t="shared" si="25"/>
        <v/>
      </c>
    </row>
    <row r="821" spans="4:6" x14ac:dyDescent="0.25">
      <c r="D821" t="str">
        <f>IFERROR(VLOOKUP(B821,PRODUCTOS!A:B,2,FALSE),"")</f>
        <v/>
      </c>
      <c r="E821" t="e">
        <f t="shared" si="24"/>
        <v>#VALUE!</v>
      </c>
      <c r="F821" t="str">
        <f t="shared" si="25"/>
        <v/>
      </c>
    </row>
    <row r="822" spans="4:6" x14ac:dyDescent="0.25">
      <c r="D822" t="str">
        <f>IFERROR(VLOOKUP(B822,PRODUCTOS!A:B,2,FALSE),"")</f>
        <v/>
      </c>
      <c r="E822" t="e">
        <f t="shared" si="24"/>
        <v>#VALUE!</v>
      </c>
      <c r="F822" t="str">
        <f t="shared" si="25"/>
        <v/>
      </c>
    </row>
    <row r="823" spans="4:6" x14ac:dyDescent="0.25">
      <c r="D823" t="str">
        <f>IFERROR(VLOOKUP(B823,PRODUCTOS!A:B,2,FALSE),"")</f>
        <v/>
      </c>
      <c r="E823" t="e">
        <f t="shared" si="24"/>
        <v>#VALUE!</v>
      </c>
      <c r="F823" t="str">
        <f t="shared" si="25"/>
        <v/>
      </c>
    </row>
    <row r="824" spans="4:6" x14ac:dyDescent="0.25">
      <c r="D824" t="str">
        <f>IFERROR(VLOOKUP(B824,PRODUCTOS!A:B,2,FALSE),"")</f>
        <v/>
      </c>
      <c r="E824" t="e">
        <f t="shared" si="24"/>
        <v>#VALUE!</v>
      </c>
      <c r="F824" t="str">
        <f t="shared" si="25"/>
        <v/>
      </c>
    </row>
    <row r="825" spans="4:6" x14ac:dyDescent="0.25">
      <c r="D825" t="str">
        <f>IFERROR(VLOOKUP(B825,PRODUCTOS!A:B,2,FALSE),"")</f>
        <v/>
      </c>
      <c r="E825" t="e">
        <f t="shared" si="24"/>
        <v>#VALUE!</v>
      </c>
      <c r="F825" t="str">
        <f t="shared" si="25"/>
        <v/>
      </c>
    </row>
    <row r="826" spans="4:6" x14ac:dyDescent="0.25">
      <c r="D826" t="str">
        <f>IFERROR(VLOOKUP(B826,PRODUCTOS!A:B,2,FALSE),"")</f>
        <v/>
      </c>
      <c r="E826" t="e">
        <f t="shared" si="24"/>
        <v>#VALUE!</v>
      </c>
      <c r="F826" t="str">
        <f t="shared" si="25"/>
        <v/>
      </c>
    </row>
    <row r="827" spans="4:6" x14ac:dyDescent="0.25">
      <c r="D827" t="str">
        <f>IFERROR(VLOOKUP(B827,PRODUCTOS!A:B,2,FALSE),"")</f>
        <v/>
      </c>
      <c r="E827" t="e">
        <f t="shared" si="24"/>
        <v>#VALUE!</v>
      </c>
      <c r="F827" t="str">
        <f t="shared" si="25"/>
        <v/>
      </c>
    </row>
    <row r="828" spans="4:6" x14ac:dyDescent="0.25">
      <c r="D828" t="str">
        <f>IFERROR(VLOOKUP(B828,PRODUCTOS!A:B,2,FALSE),"")</f>
        <v/>
      </c>
      <c r="E828" t="e">
        <f t="shared" si="24"/>
        <v>#VALUE!</v>
      </c>
      <c r="F828" t="str">
        <f t="shared" si="25"/>
        <v/>
      </c>
    </row>
    <row r="829" spans="4:6" x14ac:dyDescent="0.25">
      <c r="D829" t="str">
        <f>IFERROR(VLOOKUP(B829,PRODUCTOS!A:B,2,FALSE),"")</f>
        <v/>
      </c>
      <c r="E829" t="e">
        <f t="shared" si="24"/>
        <v>#VALUE!</v>
      </c>
      <c r="F829" t="str">
        <f t="shared" si="25"/>
        <v/>
      </c>
    </row>
    <row r="830" spans="4:6" x14ac:dyDescent="0.25">
      <c r="D830" t="str">
        <f>IFERROR(VLOOKUP(B830,PRODUCTOS!A:B,2,FALSE),"")</f>
        <v/>
      </c>
      <c r="E830" t="e">
        <f t="shared" si="24"/>
        <v>#VALUE!</v>
      </c>
      <c r="F830" t="str">
        <f t="shared" si="25"/>
        <v/>
      </c>
    </row>
    <row r="831" spans="4:6" x14ac:dyDescent="0.25">
      <c r="D831" t="str">
        <f>IFERROR(VLOOKUP(B831,PRODUCTOS!A:B,2,FALSE),"")</f>
        <v/>
      </c>
      <c r="E831" t="e">
        <f t="shared" si="24"/>
        <v>#VALUE!</v>
      </c>
      <c r="F831" t="str">
        <f t="shared" si="25"/>
        <v/>
      </c>
    </row>
    <row r="832" spans="4:6" x14ac:dyDescent="0.25">
      <c r="D832" t="str">
        <f>IFERROR(VLOOKUP(B832,PRODUCTOS!A:B,2,FALSE),"")</f>
        <v/>
      </c>
      <c r="E832" t="e">
        <f t="shared" si="24"/>
        <v>#VALUE!</v>
      </c>
      <c r="F832" t="str">
        <f t="shared" si="25"/>
        <v/>
      </c>
    </row>
    <row r="833" spans="4:6" x14ac:dyDescent="0.25">
      <c r="D833" t="str">
        <f>IFERROR(VLOOKUP(B833,PRODUCTOS!A:B,2,FALSE),"")</f>
        <v/>
      </c>
      <c r="E833" t="e">
        <f t="shared" si="24"/>
        <v>#VALUE!</v>
      </c>
      <c r="F833" t="str">
        <f t="shared" si="25"/>
        <v/>
      </c>
    </row>
    <row r="834" spans="4:6" x14ac:dyDescent="0.25">
      <c r="D834" t="str">
        <f>IFERROR(VLOOKUP(B834,PRODUCTOS!A:B,2,FALSE),"")</f>
        <v/>
      </c>
      <c r="E834" t="e">
        <f t="shared" ref="E834:E897" si="26">C834*D834</f>
        <v>#VALUE!</v>
      </c>
      <c r="F834" t="str">
        <f t="shared" ref="F834:F897" si="27">IF(A834="","",TEXT(A834,"yyyy-mm"))</f>
        <v/>
      </c>
    </row>
    <row r="835" spans="4:6" x14ac:dyDescent="0.25">
      <c r="D835" t="str">
        <f>IFERROR(VLOOKUP(B835,PRODUCTOS!A:B,2,FALSE),"")</f>
        <v/>
      </c>
      <c r="E835" t="e">
        <f t="shared" si="26"/>
        <v>#VALUE!</v>
      </c>
      <c r="F835" t="str">
        <f t="shared" si="27"/>
        <v/>
      </c>
    </row>
    <row r="836" spans="4:6" x14ac:dyDescent="0.25">
      <c r="D836" t="str">
        <f>IFERROR(VLOOKUP(B836,PRODUCTOS!A:B,2,FALSE),"")</f>
        <v/>
      </c>
      <c r="E836" t="e">
        <f t="shared" si="26"/>
        <v>#VALUE!</v>
      </c>
      <c r="F836" t="str">
        <f t="shared" si="27"/>
        <v/>
      </c>
    </row>
    <row r="837" spans="4:6" x14ac:dyDescent="0.25">
      <c r="D837" t="str">
        <f>IFERROR(VLOOKUP(B837,PRODUCTOS!A:B,2,FALSE),"")</f>
        <v/>
      </c>
      <c r="E837" t="e">
        <f t="shared" si="26"/>
        <v>#VALUE!</v>
      </c>
      <c r="F837" t="str">
        <f t="shared" si="27"/>
        <v/>
      </c>
    </row>
    <row r="838" spans="4:6" x14ac:dyDescent="0.25">
      <c r="D838" t="str">
        <f>IFERROR(VLOOKUP(B838,PRODUCTOS!A:B,2,FALSE),"")</f>
        <v/>
      </c>
      <c r="E838" t="e">
        <f t="shared" si="26"/>
        <v>#VALUE!</v>
      </c>
      <c r="F838" t="str">
        <f t="shared" si="27"/>
        <v/>
      </c>
    </row>
    <row r="839" spans="4:6" x14ac:dyDescent="0.25">
      <c r="D839" t="str">
        <f>IFERROR(VLOOKUP(B839,PRODUCTOS!A:B,2,FALSE),"")</f>
        <v/>
      </c>
      <c r="E839" t="e">
        <f t="shared" si="26"/>
        <v>#VALUE!</v>
      </c>
      <c r="F839" t="str">
        <f t="shared" si="27"/>
        <v/>
      </c>
    </row>
    <row r="840" spans="4:6" x14ac:dyDescent="0.25">
      <c r="D840" t="str">
        <f>IFERROR(VLOOKUP(B840,PRODUCTOS!A:B,2,FALSE),"")</f>
        <v/>
      </c>
      <c r="E840" t="e">
        <f t="shared" si="26"/>
        <v>#VALUE!</v>
      </c>
      <c r="F840" t="str">
        <f t="shared" si="27"/>
        <v/>
      </c>
    </row>
    <row r="841" spans="4:6" x14ac:dyDescent="0.25">
      <c r="D841" t="str">
        <f>IFERROR(VLOOKUP(B841,PRODUCTOS!A:B,2,FALSE),"")</f>
        <v/>
      </c>
      <c r="E841" t="e">
        <f t="shared" si="26"/>
        <v>#VALUE!</v>
      </c>
      <c r="F841" t="str">
        <f t="shared" si="27"/>
        <v/>
      </c>
    </row>
    <row r="842" spans="4:6" x14ac:dyDescent="0.25">
      <c r="D842" t="str">
        <f>IFERROR(VLOOKUP(B842,PRODUCTOS!A:B,2,FALSE),"")</f>
        <v/>
      </c>
      <c r="E842" t="e">
        <f t="shared" si="26"/>
        <v>#VALUE!</v>
      </c>
      <c r="F842" t="str">
        <f t="shared" si="27"/>
        <v/>
      </c>
    </row>
    <row r="843" spans="4:6" x14ac:dyDescent="0.25">
      <c r="D843" t="str">
        <f>IFERROR(VLOOKUP(B843,PRODUCTOS!A:B,2,FALSE),"")</f>
        <v/>
      </c>
      <c r="E843" t="e">
        <f t="shared" si="26"/>
        <v>#VALUE!</v>
      </c>
      <c r="F843" t="str">
        <f t="shared" si="27"/>
        <v/>
      </c>
    </row>
    <row r="844" spans="4:6" x14ac:dyDescent="0.25">
      <c r="D844" t="str">
        <f>IFERROR(VLOOKUP(B844,PRODUCTOS!A:B,2,FALSE),"")</f>
        <v/>
      </c>
      <c r="E844" t="e">
        <f t="shared" si="26"/>
        <v>#VALUE!</v>
      </c>
      <c r="F844" t="str">
        <f t="shared" si="27"/>
        <v/>
      </c>
    </row>
    <row r="845" spans="4:6" x14ac:dyDescent="0.25">
      <c r="D845" t="str">
        <f>IFERROR(VLOOKUP(B845,PRODUCTOS!A:B,2,FALSE),"")</f>
        <v/>
      </c>
      <c r="E845" t="e">
        <f t="shared" si="26"/>
        <v>#VALUE!</v>
      </c>
      <c r="F845" t="str">
        <f t="shared" si="27"/>
        <v/>
      </c>
    </row>
    <row r="846" spans="4:6" x14ac:dyDescent="0.25">
      <c r="D846" t="str">
        <f>IFERROR(VLOOKUP(B846,PRODUCTOS!A:B,2,FALSE),"")</f>
        <v/>
      </c>
      <c r="E846" t="e">
        <f t="shared" si="26"/>
        <v>#VALUE!</v>
      </c>
      <c r="F846" t="str">
        <f t="shared" si="27"/>
        <v/>
      </c>
    </row>
    <row r="847" spans="4:6" x14ac:dyDescent="0.25">
      <c r="D847" t="str">
        <f>IFERROR(VLOOKUP(B847,PRODUCTOS!A:B,2,FALSE),"")</f>
        <v/>
      </c>
      <c r="E847" t="e">
        <f t="shared" si="26"/>
        <v>#VALUE!</v>
      </c>
      <c r="F847" t="str">
        <f t="shared" si="27"/>
        <v/>
      </c>
    </row>
    <row r="848" spans="4:6" x14ac:dyDescent="0.25">
      <c r="D848" t="str">
        <f>IFERROR(VLOOKUP(B848,PRODUCTOS!A:B,2,FALSE),"")</f>
        <v/>
      </c>
      <c r="E848" t="e">
        <f t="shared" si="26"/>
        <v>#VALUE!</v>
      </c>
      <c r="F848" t="str">
        <f t="shared" si="27"/>
        <v/>
      </c>
    </row>
    <row r="849" spans="4:6" x14ac:dyDescent="0.25">
      <c r="D849" t="str">
        <f>IFERROR(VLOOKUP(B849,PRODUCTOS!A:B,2,FALSE),"")</f>
        <v/>
      </c>
      <c r="E849" t="e">
        <f t="shared" si="26"/>
        <v>#VALUE!</v>
      </c>
      <c r="F849" t="str">
        <f t="shared" si="27"/>
        <v/>
      </c>
    </row>
    <row r="850" spans="4:6" x14ac:dyDescent="0.25">
      <c r="D850" t="str">
        <f>IFERROR(VLOOKUP(B850,PRODUCTOS!A:B,2,FALSE),"")</f>
        <v/>
      </c>
      <c r="E850" t="e">
        <f t="shared" si="26"/>
        <v>#VALUE!</v>
      </c>
      <c r="F850" t="str">
        <f t="shared" si="27"/>
        <v/>
      </c>
    </row>
    <row r="851" spans="4:6" x14ac:dyDescent="0.25">
      <c r="D851" t="str">
        <f>IFERROR(VLOOKUP(B851,PRODUCTOS!A:B,2,FALSE),"")</f>
        <v/>
      </c>
      <c r="E851" t="e">
        <f t="shared" si="26"/>
        <v>#VALUE!</v>
      </c>
      <c r="F851" t="str">
        <f t="shared" si="27"/>
        <v/>
      </c>
    </row>
    <row r="852" spans="4:6" x14ac:dyDescent="0.25">
      <c r="D852" t="str">
        <f>IFERROR(VLOOKUP(B852,PRODUCTOS!A:B,2,FALSE),"")</f>
        <v/>
      </c>
      <c r="E852" t="e">
        <f t="shared" si="26"/>
        <v>#VALUE!</v>
      </c>
      <c r="F852" t="str">
        <f t="shared" si="27"/>
        <v/>
      </c>
    </row>
    <row r="853" spans="4:6" x14ac:dyDescent="0.25">
      <c r="D853" t="str">
        <f>IFERROR(VLOOKUP(B853,PRODUCTOS!A:B,2,FALSE),"")</f>
        <v/>
      </c>
      <c r="E853" t="e">
        <f t="shared" si="26"/>
        <v>#VALUE!</v>
      </c>
      <c r="F853" t="str">
        <f t="shared" si="27"/>
        <v/>
      </c>
    </row>
    <row r="854" spans="4:6" x14ac:dyDescent="0.25">
      <c r="D854" t="str">
        <f>IFERROR(VLOOKUP(B854,PRODUCTOS!A:B,2,FALSE),"")</f>
        <v/>
      </c>
      <c r="E854" t="e">
        <f t="shared" si="26"/>
        <v>#VALUE!</v>
      </c>
      <c r="F854" t="str">
        <f t="shared" si="27"/>
        <v/>
      </c>
    </row>
    <row r="855" spans="4:6" x14ac:dyDescent="0.25">
      <c r="D855" t="str">
        <f>IFERROR(VLOOKUP(B855,PRODUCTOS!A:B,2,FALSE),"")</f>
        <v/>
      </c>
      <c r="E855" t="e">
        <f t="shared" si="26"/>
        <v>#VALUE!</v>
      </c>
      <c r="F855" t="str">
        <f t="shared" si="27"/>
        <v/>
      </c>
    </row>
    <row r="856" spans="4:6" x14ac:dyDescent="0.25">
      <c r="D856" t="str">
        <f>IFERROR(VLOOKUP(B856,PRODUCTOS!A:B,2,FALSE),"")</f>
        <v/>
      </c>
      <c r="E856" t="e">
        <f t="shared" si="26"/>
        <v>#VALUE!</v>
      </c>
      <c r="F856" t="str">
        <f t="shared" si="27"/>
        <v/>
      </c>
    </row>
    <row r="857" spans="4:6" x14ac:dyDescent="0.25">
      <c r="D857" t="str">
        <f>IFERROR(VLOOKUP(B857,PRODUCTOS!A:B,2,FALSE),"")</f>
        <v/>
      </c>
      <c r="E857" t="e">
        <f t="shared" si="26"/>
        <v>#VALUE!</v>
      </c>
      <c r="F857" t="str">
        <f t="shared" si="27"/>
        <v/>
      </c>
    </row>
    <row r="858" spans="4:6" x14ac:dyDescent="0.25">
      <c r="D858" t="str">
        <f>IFERROR(VLOOKUP(B858,PRODUCTOS!A:B,2,FALSE),"")</f>
        <v/>
      </c>
      <c r="E858" t="e">
        <f t="shared" si="26"/>
        <v>#VALUE!</v>
      </c>
      <c r="F858" t="str">
        <f t="shared" si="27"/>
        <v/>
      </c>
    </row>
    <row r="859" spans="4:6" x14ac:dyDescent="0.25">
      <c r="D859" t="str">
        <f>IFERROR(VLOOKUP(B859,PRODUCTOS!A:B,2,FALSE),"")</f>
        <v/>
      </c>
      <c r="E859" t="e">
        <f t="shared" si="26"/>
        <v>#VALUE!</v>
      </c>
      <c r="F859" t="str">
        <f t="shared" si="27"/>
        <v/>
      </c>
    </row>
    <row r="860" spans="4:6" x14ac:dyDescent="0.25">
      <c r="D860" t="str">
        <f>IFERROR(VLOOKUP(B860,PRODUCTOS!A:B,2,FALSE),"")</f>
        <v/>
      </c>
      <c r="E860" t="e">
        <f t="shared" si="26"/>
        <v>#VALUE!</v>
      </c>
      <c r="F860" t="str">
        <f t="shared" si="27"/>
        <v/>
      </c>
    </row>
    <row r="861" spans="4:6" x14ac:dyDescent="0.25">
      <c r="D861" t="str">
        <f>IFERROR(VLOOKUP(B861,PRODUCTOS!A:B,2,FALSE),"")</f>
        <v/>
      </c>
      <c r="E861" t="e">
        <f t="shared" si="26"/>
        <v>#VALUE!</v>
      </c>
      <c r="F861" t="str">
        <f t="shared" si="27"/>
        <v/>
      </c>
    </row>
    <row r="862" spans="4:6" x14ac:dyDescent="0.25">
      <c r="D862" t="str">
        <f>IFERROR(VLOOKUP(B862,PRODUCTOS!A:B,2,FALSE),"")</f>
        <v/>
      </c>
      <c r="E862" t="e">
        <f t="shared" si="26"/>
        <v>#VALUE!</v>
      </c>
      <c r="F862" t="str">
        <f t="shared" si="27"/>
        <v/>
      </c>
    </row>
    <row r="863" spans="4:6" x14ac:dyDescent="0.25">
      <c r="D863" t="str">
        <f>IFERROR(VLOOKUP(B863,PRODUCTOS!A:B,2,FALSE),"")</f>
        <v/>
      </c>
      <c r="E863" t="e">
        <f t="shared" si="26"/>
        <v>#VALUE!</v>
      </c>
      <c r="F863" t="str">
        <f t="shared" si="27"/>
        <v/>
      </c>
    </row>
    <row r="864" spans="4:6" x14ac:dyDescent="0.25">
      <c r="D864" t="str">
        <f>IFERROR(VLOOKUP(B864,PRODUCTOS!A:B,2,FALSE),"")</f>
        <v/>
      </c>
      <c r="E864" t="e">
        <f t="shared" si="26"/>
        <v>#VALUE!</v>
      </c>
      <c r="F864" t="str">
        <f t="shared" si="27"/>
        <v/>
      </c>
    </row>
    <row r="865" spans="4:6" x14ac:dyDescent="0.25">
      <c r="D865" t="str">
        <f>IFERROR(VLOOKUP(B865,PRODUCTOS!A:B,2,FALSE),"")</f>
        <v/>
      </c>
      <c r="E865" t="e">
        <f t="shared" si="26"/>
        <v>#VALUE!</v>
      </c>
      <c r="F865" t="str">
        <f t="shared" si="27"/>
        <v/>
      </c>
    </row>
    <row r="866" spans="4:6" x14ac:dyDescent="0.25">
      <c r="D866" t="str">
        <f>IFERROR(VLOOKUP(B866,PRODUCTOS!A:B,2,FALSE),"")</f>
        <v/>
      </c>
      <c r="E866" t="e">
        <f t="shared" si="26"/>
        <v>#VALUE!</v>
      </c>
      <c r="F866" t="str">
        <f t="shared" si="27"/>
        <v/>
      </c>
    </row>
    <row r="867" spans="4:6" x14ac:dyDescent="0.25">
      <c r="D867" t="str">
        <f>IFERROR(VLOOKUP(B867,PRODUCTOS!A:B,2,FALSE),"")</f>
        <v/>
      </c>
      <c r="E867" t="e">
        <f t="shared" si="26"/>
        <v>#VALUE!</v>
      </c>
      <c r="F867" t="str">
        <f t="shared" si="27"/>
        <v/>
      </c>
    </row>
    <row r="868" spans="4:6" x14ac:dyDescent="0.25">
      <c r="D868" t="str">
        <f>IFERROR(VLOOKUP(B868,PRODUCTOS!A:B,2,FALSE),"")</f>
        <v/>
      </c>
      <c r="E868" t="e">
        <f t="shared" si="26"/>
        <v>#VALUE!</v>
      </c>
      <c r="F868" t="str">
        <f t="shared" si="27"/>
        <v/>
      </c>
    </row>
    <row r="869" spans="4:6" x14ac:dyDescent="0.25">
      <c r="D869" t="str">
        <f>IFERROR(VLOOKUP(B869,PRODUCTOS!A:B,2,FALSE),"")</f>
        <v/>
      </c>
      <c r="E869" t="e">
        <f t="shared" si="26"/>
        <v>#VALUE!</v>
      </c>
      <c r="F869" t="str">
        <f t="shared" si="27"/>
        <v/>
      </c>
    </row>
    <row r="870" spans="4:6" x14ac:dyDescent="0.25">
      <c r="D870" t="str">
        <f>IFERROR(VLOOKUP(B870,PRODUCTOS!A:B,2,FALSE),"")</f>
        <v/>
      </c>
      <c r="E870" t="e">
        <f t="shared" si="26"/>
        <v>#VALUE!</v>
      </c>
      <c r="F870" t="str">
        <f t="shared" si="27"/>
        <v/>
      </c>
    </row>
    <row r="871" spans="4:6" x14ac:dyDescent="0.25">
      <c r="D871" t="str">
        <f>IFERROR(VLOOKUP(B871,PRODUCTOS!A:B,2,FALSE),"")</f>
        <v/>
      </c>
      <c r="E871" t="e">
        <f t="shared" si="26"/>
        <v>#VALUE!</v>
      </c>
      <c r="F871" t="str">
        <f t="shared" si="27"/>
        <v/>
      </c>
    </row>
    <row r="872" spans="4:6" x14ac:dyDescent="0.25">
      <c r="D872" t="str">
        <f>IFERROR(VLOOKUP(B872,PRODUCTOS!A:B,2,FALSE),"")</f>
        <v/>
      </c>
      <c r="E872" t="e">
        <f t="shared" si="26"/>
        <v>#VALUE!</v>
      </c>
      <c r="F872" t="str">
        <f t="shared" si="27"/>
        <v/>
      </c>
    </row>
    <row r="873" spans="4:6" x14ac:dyDescent="0.25">
      <c r="D873" t="str">
        <f>IFERROR(VLOOKUP(B873,PRODUCTOS!A:B,2,FALSE),"")</f>
        <v/>
      </c>
      <c r="E873" t="e">
        <f t="shared" si="26"/>
        <v>#VALUE!</v>
      </c>
      <c r="F873" t="str">
        <f t="shared" si="27"/>
        <v/>
      </c>
    </row>
    <row r="874" spans="4:6" x14ac:dyDescent="0.25">
      <c r="D874" t="str">
        <f>IFERROR(VLOOKUP(B874,PRODUCTOS!A:B,2,FALSE),"")</f>
        <v/>
      </c>
      <c r="E874" t="e">
        <f t="shared" si="26"/>
        <v>#VALUE!</v>
      </c>
      <c r="F874" t="str">
        <f t="shared" si="27"/>
        <v/>
      </c>
    </row>
    <row r="875" spans="4:6" x14ac:dyDescent="0.25">
      <c r="D875" t="str">
        <f>IFERROR(VLOOKUP(B875,PRODUCTOS!A:B,2,FALSE),"")</f>
        <v/>
      </c>
      <c r="E875" t="e">
        <f t="shared" si="26"/>
        <v>#VALUE!</v>
      </c>
      <c r="F875" t="str">
        <f t="shared" si="27"/>
        <v/>
      </c>
    </row>
    <row r="876" spans="4:6" x14ac:dyDescent="0.25">
      <c r="D876" t="str">
        <f>IFERROR(VLOOKUP(B876,PRODUCTOS!A:B,2,FALSE),"")</f>
        <v/>
      </c>
      <c r="E876" t="e">
        <f t="shared" si="26"/>
        <v>#VALUE!</v>
      </c>
      <c r="F876" t="str">
        <f t="shared" si="27"/>
        <v/>
      </c>
    </row>
    <row r="877" spans="4:6" x14ac:dyDescent="0.25">
      <c r="D877" t="str">
        <f>IFERROR(VLOOKUP(B877,PRODUCTOS!A:B,2,FALSE),"")</f>
        <v/>
      </c>
      <c r="E877" t="e">
        <f t="shared" si="26"/>
        <v>#VALUE!</v>
      </c>
      <c r="F877" t="str">
        <f t="shared" si="27"/>
        <v/>
      </c>
    </row>
    <row r="878" spans="4:6" x14ac:dyDescent="0.25">
      <c r="D878" t="str">
        <f>IFERROR(VLOOKUP(B878,PRODUCTOS!A:B,2,FALSE),"")</f>
        <v/>
      </c>
      <c r="E878" t="e">
        <f t="shared" si="26"/>
        <v>#VALUE!</v>
      </c>
      <c r="F878" t="str">
        <f t="shared" si="27"/>
        <v/>
      </c>
    </row>
    <row r="879" spans="4:6" x14ac:dyDescent="0.25">
      <c r="D879" t="str">
        <f>IFERROR(VLOOKUP(B879,PRODUCTOS!A:B,2,FALSE),"")</f>
        <v/>
      </c>
      <c r="E879" t="e">
        <f t="shared" si="26"/>
        <v>#VALUE!</v>
      </c>
      <c r="F879" t="str">
        <f t="shared" si="27"/>
        <v/>
      </c>
    </row>
    <row r="880" spans="4:6" x14ac:dyDescent="0.25">
      <c r="D880" t="str">
        <f>IFERROR(VLOOKUP(B880,PRODUCTOS!A:B,2,FALSE),"")</f>
        <v/>
      </c>
      <c r="E880" t="e">
        <f t="shared" si="26"/>
        <v>#VALUE!</v>
      </c>
      <c r="F880" t="str">
        <f t="shared" si="27"/>
        <v/>
      </c>
    </row>
    <row r="881" spans="4:6" x14ac:dyDescent="0.25">
      <c r="D881" t="str">
        <f>IFERROR(VLOOKUP(B881,PRODUCTOS!A:B,2,FALSE),"")</f>
        <v/>
      </c>
      <c r="E881" t="e">
        <f t="shared" si="26"/>
        <v>#VALUE!</v>
      </c>
      <c r="F881" t="str">
        <f t="shared" si="27"/>
        <v/>
      </c>
    </row>
    <row r="882" spans="4:6" x14ac:dyDescent="0.25">
      <c r="D882" t="str">
        <f>IFERROR(VLOOKUP(B882,PRODUCTOS!A:B,2,FALSE),"")</f>
        <v/>
      </c>
      <c r="E882" t="e">
        <f t="shared" si="26"/>
        <v>#VALUE!</v>
      </c>
      <c r="F882" t="str">
        <f t="shared" si="27"/>
        <v/>
      </c>
    </row>
    <row r="883" spans="4:6" x14ac:dyDescent="0.25">
      <c r="D883" t="str">
        <f>IFERROR(VLOOKUP(B883,PRODUCTOS!A:B,2,FALSE),"")</f>
        <v/>
      </c>
      <c r="E883" t="e">
        <f t="shared" si="26"/>
        <v>#VALUE!</v>
      </c>
      <c r="F883" t="str">
        <f t="shared" si="27"/>
        <v/>
      </c>
    </row>
    <row r="884" spans="4:6" x14ac:dyDescent="0.25">
      <c r="D884" t="str">
        <f>IFERROR(VLOOKUP(B884,PRODUCTOS!A:B,2,FALSE),"")</f>
        <v/>
      </c>
      <c r="E884" t="e">
        <f t="shared" si="26"/>
        <v>#VALUE!</v>
      </c>
      <c r="F884" t="str">
        <f t="shared" si="27"/>
        <v/>
      </c>
    </row>
    <row r="885" spans="4:6" x14ac:dyDescent="0.25">
      <c r="D885" t="str">
        <f>IFERROR(VLOOKUP(B885,PRODUCTOS!A:B,2,FALSE),"")</f>
        <v/>
      </c>
      <c r="E885" t="e">
        <f t="shared" si="26"/>
        <v>#VALUE!</v>
      </c>
      <c r="F885" t="str">
        <f t="shared" si="27"/>
        <v/>
      </c>
    </row>
    <row r="886" spans="4:6" x14ac:dyDescent="0.25">
      <c r="D886" t="str">
        <f>IFERROR(VLOOKUP(B886,PRODUCTOS!A:B,2,FALSE),"")</f>
        <v/>
      </c>
      <c r="E886" t="e">
        <f t="shared" si="26"/>
        <v>#VALUE!</v>
      </c>
      <c r="F886" t="str">
        <f t="shared" si="27"/>
        <v/>
      </c>
    </row>
    <row r="887" spans="4:6" x14ac:dyDescent="0.25">
      <c r="D887" t="str">
        <f>IFERROR(VLOOKUP(B887,PRODUCTOS!A:B,2,FALSE),"")</f>
        <v/>
      </c>
      <c r="E887" t="e">
        <f t="shared" si="26"/>
        <v>#VALUE!</v>
      </c>
      <c r="F887" t="str">
        <f t="shared" si="27"/>
        <v/>
      </c>
    </row>
    <row r="888" spans="4:6" x14ac:dyDescent="0.25">
      <c r="D888" t="str">
        <f>IFERROR(VLOOKUP(B888,PRODUCTOS!A:B,2,FALSE),"")</f>
        <v/>
      </c>
      <c r="E888" t="e">
        <f t="shared" si="26"/>
        <v>#VALUE!</v>
      </c>
      <c r="F888" t="str">
        <f t="shared" si="27"/>
        <v/>
      </c>
    </row>
    <row r="889" spans="4:6" x14ac:dyDescent="0.25">
      <c r="D889" t="str">
        <f>IFERROR(VLOOKUP(B889,PRODUCTOS!A:B,2,FALSE),"")</f>
        <v/>
      </c>
      <c r="E889" t="e">
        <f t="shared" si="26"/>
        <v>#VALUE!</v>
      </c>
      <c r="F889" t="str">
        <f t="shared" si="27"/>
        <v/>
      </c>
    </row>
    <row r="890" spans="4:6" x14ac:dyDescent="0.25">
      <c r="D890" t="str">
        <f>IFERROR(VLOOKUP(B890,PRODUCTOS!A:B,2,FALSE),"")</f>
        <v/>
      </c>
      <c r="E890" t="e">
        <f t="shared" si="26"/>
        <v>#VALUE!</v>
      </c>
      <c r="F890" t="str">
        <f t="shared" si="27"/>
        <v/>
      </c>
    </row>
    <row r="891" spans="4:6" x14ac:dyDescent="0.25">
      <c r="D891" t="str">
        <f>IFERROR(VLOOKUP(B891,PRODUCTOS!A:B,2,FALSE),"")</f>
        <v/>
      </c>
      <c r="E891" t="e">
        <f t="shared" si="26"/>
        <v>#VALUE!</v>
      </c>
      <c r="F891" t="str">
        <f t="shared" si="27"/>
        <v/>
      </c>
    </row>
    <row r="892" spans="4:6" x14ac:dyDescent="0.25">
      <c r="D892" t="str">
        <f>IFERROR(VLOOKUP(B892,PRODUCTOS!A:B,2,FALSE),"")</f>
        <v/>
      </c>
      <c r="E892" t="e">
        <f t="shared" si="26"/>
        <v>#VALUE!</v>
      </c>
      <c r="F892" t="str">
        <f t="shared" si="27"/>
        <v/>
      </c>
    </row>
    <row r="893" spans="4:6" x14ac:dyDescent="0.25">
      <c r="D893" t="str">
        <f>IFERROR(VLOOKUP(B893,PRODUCTOS!A:B,2,FALSE),"")</f>
        <v/>
      </c>
      <c r="E893" t="e">
        <f t="shared" si="26"/>
        <v>#VALUE!</v>
      </c>
      <c r="F893" t="str">
        <f t="shared" si="27"/>
        <v/>
      </c>
    </row>
    <row r="894" spans="4:6" x14ac:dyDescent="0.25">
      <c r="D894" t="str">
        <f>IFERROR(VLOOKUP(B894,PRODUCTOS!A:B,2,FALSE),"")</f>
        <v/>
      </c>
      <c r="E894" t="e">
        <f t="shared" si="26"/>
        <v>#VALUE!</v>
      </c>
      <c r="F894" t="str">
        <f t="shared" si="27"/>
        <v/>
      </c>
    </row>
    <row r="895" spans="4:6" x14ac:dyDescent="0.25">
      <c r="D895" t="str">
        <f>IFERROR(VLOOKUP(B895,PRODUCTOS!A:B,2,FALSE),"")</f>
        <v/>
      </c>
      <c r="E895" t="e">
        <f t="shared" si="26"/>
        <v>#VALUE!</v>
      </c>
      <c r="F895" t="str">
        <f t="shared" si="27"/>
        <v/>
      </c>
    </row>
    <row r="896" spans="4:6" x14ac:dyDescent="0.25">
      <c r="D896" t="str">
        <f>IFERROR(VLOOKUP(B896,PRODUCTOS!A:B,2,FALSE),"")</f>
        <v/>
      </c>
      <c r="E896" t="e">
        <f t="shared" si="26"/>
        <v>#VALUE!</v>
      </c>
      <c r="F896" t="str">
        <f t="shared" si="27"/>
        <v/>
      </c>
    </row>
    <row r="897" spans="4:6" x14ac:dyDescent="0.25">
      <c r="D897" t="str">
        <f>IFERROR(VLOOKUP(B897,PRODUCTOS!A:B,2,FALSE),"")</f>
        <v/>
      </c>
      <c r="E897" t="e">
        <f t="shared" si="26"/>
        <v>#VALUE!</v>
      </c>
      <c r="F897" t="str">
        <f t="shared" si="27"/>
        <v/>
      </c>
    </row>
    <row r="898" spans="4:6" x14ac:dyDescent="0.25">
      <c r="D898" t="str">
        <f>IFERROR(VLOOKUP(B898,PRODUCTOS!A:B,2,FALSE),"")</f>
        <v/>
      </c>
      <c r="E898" t="e">
        <f t="shared" ref="E898:E961" si="28">C898*D898</f>
        <v>#VALUE!</v>
      </c>
      <c r="F898" t="str">
        <f t="shared" ref="F898:F961" si="29">IF(A898="","",TEXT(A898,"yyyy-mm"))</f>
        <v/>
      </c>
    </row>
    <row r="899" spans="4:6" x14ac:dyDescent="0.25">
      <c r="D899" t="str">
        <f>IFERROR(VLOOKUP(B899,PRODUCTOS!A:B,2,FALSE),"")</f>
        <v/>
      </c>
      <c r="E899" t="e">
        <f t="shared" si="28"/>
        <v>#VALUE!</v>
      </c>
      <c r="F899" t="str">
        <f t="shared" si="29"/>
        <v/>
      </c>
    </row>
    <row r="900" spans="4:6" x14ac:dyDescent="0.25">
      <c r="D900" t="str">
        <f>IFERROR(VLOOKUP(B900,PRODUCTOS!A:B,2,FALSE),"")</f>
        <v/>
      </c>
      <c r="E900" t="e">
        <f t="shared" si="28"/>
        <v>#VALUE!</v>
      </c>
      <c r="F900" t="str">
        <f t="shared" si="29"/>
        <v/>
      </c>
    </row>
    <row r="901" spans="4:6" x14ac:dyDescent="0.25">
      <c r="D901" t="str">
        <f>IFERROR(VLOOKUP(B901,PRODUCTOS!A:B,2,FALSE),"")</f>
        <v/>
      </c>
      <c r="E901" t="e">
        <f t="shared" si="28"/>
        <v>#VALUE!</v>
      </c>
      <c r="F901" t="str">
        <f t="shared" si="29"/>
        <v/>
      </c>
    </row>
    <row r="902" spans="4:6" x14ac:dyDescent="0.25">
      <c r="D902" t="str">
        <f>IFERROR(VLOOKUP(B902,PRODUCTOS!A:B,2,FALSE),"")</f>
        <v/>
      </c>
      <c r="E902" t="e">
        <f t="shared" si="28"/>
        <v>#VALUE!</v>
      </c>
      <c r="F902" t="str">
        <f t="shared" si="29"/>
        <v/>
      </c>
    </row>
    <row r="903" spans="4:6" x14ac:dyDescent="0.25">
      <c r="D903" t="str">
        <f>IFERROR(VLOOKUP(B903,PRODUCTOS!A:B,2,FALSE),"")</f>
        <v/>
      </c>
      <c r="E903" t="e">
        <f t="shared" si="28"/>
        <v>#VALUE!</v>
      </c>
      <c r="F903" t="str">
        <f t="shared" si="29"/>
        <v/>
      </c>
    </row>
    <row r="904" spans="4:6" x14ac:dyDescent="0.25">
      <c r="D904" t="str">
        <f>IFERROR(VLOOKUP(B904,PRODUCTOS!A:B,2,FALSE),"")</f>
        <v/>
      </c>
      <c r="E904" t="e">
        <f t="shared" si="28"/>
        <v>#VALUE!</v>
      </c>
      <c r="F904" t="str">
        <f t="shared" si="29"/>
        <v/>
      </c>
    </row>
    <row r="905" spans="4:6" x14ac:dyDescent="0.25">
      <c r="D905" t="str">
        <f>IFERROR(VLOOKUP(B905,PRODUCTOS!A:B,2,FALSE),"")</f>
        <v/>
      </c>
      <c r="E905" t="e">
        <f t="shared" si="28"/>
        <v>#VALUE!</v>
      </c>
      <c r="F905" t="str">
        <f t="shared" si="29"/>
        <v/>
      </c>
    </row>
    <row r="906" spans="4:6" x14ac:dyDescent="0.25">
      <c r="D906" t="str">
        <f>IFERROR(VLOOKUP(B906,PRODUCTOS!A:B,2,FALSE),"")</f>
        <v/>
      </c>
      <c r="E906" t="e">
        <f t="shared" si="28"/>
        <v>#VALUE!</v>
      </c>
      <c r="F906" t="str">
        <f t="shared" si="29"/>
        <v/>
      </c>
    </row>
    <row r="907" spans="4:6" x14ac:dyDescent="0.25">
      <c r="D907" t="str">
        <f>IFERROR(VLOOKUP(B907,PRODUCTOS!A:B,2,FALSE),"")</f>
        <v/>
      </c>
      <c r="E907" t="e">
        <f t="shared" si="28"/>
        <v>#VALUE!</v>
      </c>
      <c r="F907" t="str">
        <f t="shared" si="29"/>
        <v/>
      </c>
    </row>
    <row r="908" spans="4:6" x14ac:dyDescent="0.25">
      <c r="D908" t="str">
        <f>IFERROR(VLOOKUP(B908,PRODUCTOS!A:B,2,FALSE),"")</f>
        <v/>
      </c>
      <c r="E908" t="e">
        <f t="shared" si="28"/>
        <v>#VALUE!</v>
      </c>
      <c r="F908" t="str">
        <f t="shared" si="29"/>
        <v/>
      </c>
    </row>
    <row r="909" spans="4:6" x14ac:dyDescent="0.25">
      <c r="D909" t="str">
        <f>IFERROR(VLOOKUP(B909,PRODUCTOS!A:B,2,FALSE),"")</f>
        <v/>
      </c>
      <c r="E909" t="e">
        <f t="shared" si="28"/>
        <v>#VALUE!</v>
      </c>
      <c r="F909" t="str">
        <f t="shared" si="29"/>
        <v/>
      </c>
    </row>
    <row r="910" spans="4:6" x14ac:dyDescent="0.25">
      <c r="D910" t="str">
        <f>IFERROR(VLOOKUP(B910,PRODUCTOS!A:B,2,FALSE),"")</f>
        <v/>
      </c>
      <c r="E910" t="e">
        <f t="shared" si="28"/>
        <v>#VALUE!</v>
      </c>
      <c r="F910" t="str">
        <f t="shared" si="29"/>
        <v/>
      </c>
    </row>
    <row r="911" spans="4:6" x14ac:dyDescent="0.25">
      <c r="D911" t="str">
        <f>IFERROR(VLOOKUP(B911,PRODUCTOS!A:B,2,FALSE),"")</f>
        <v/>
      </c>
      <c r="E911" t="e">
        <f t="shared" si="28"/>
        <v>#VALUE!</v>
      </c>
      <c r="F911" t="str">
        <f t="shared" si="29"/>
        <v/>
      </c>
    </row>
    <row r="912" spans="4:6" x14ac:dyDescent="0.25">
      <c r="D912" t="str">
        <f>IFERROR(VLOOKUP(B912,PRODUCTOS!A:B,2,FALSE),"")</f>
        <v/>
      </c>
      <c r="E912" t="e">
        <f t="shared" si="28"/>
        <v>#VALUE!</v>
      </c>
      <c r="F912" t="str">
        <f t="shared" si="29"/>
        <v/>
      </c>
    </row>
    <row r="913" spans="4:6" x14ac:dyDescent="0.25">
      <c r="D913" t="str">
        <f>IFERROR(VLOOKUP(B913,PRODUCTOS!A:B,2,FALSE),"")</f>
        <v/>
      </c>
      <c r="E913" t="e">
        <f t="shared" si="28"/>
        <v>#VALUE!</v>
      </c>
      <c r="F913" t="str">
        <f t="shared" si="29"/>
        <v/>
      </c>
    </row>
    <row r="914" spans="4:6" x14ac:dyDescent="0.25">
      <c r="D914" t="str">
        <f>IFERROR(VLOOKUP(B914,PRODUCTOS!A:B,2,FALSE),"")</f>
        <v/>
      </c>
      <c r="E914" t="e">
        <f t="shared" si="28"/>
        <v>#VALUE!</v>
      </c>
      <c r="F914" t="str">
        <f t="shared" si="29"/>
        <v/>
      </c>
    </row>
    <row r="915" spans="4:6" x14ac:dyDescent="0.25">
      <c r="D915" t="str">
        <f>IFERROR(VLOOKUP(B915,PRODUCTOS!A:B,2,FALSE),"")</f>
        <v/>
      </c>
      <c r="E915" t="e">
        <f t="shared" si="28"/>
        <v>#VALUE!</v>
      </c>
      <c r="F915" t="str">
        <f t="shared" si="29"/>
        <v/>
      </c>
    </row>
    <row r="916" spans="4:6" x14ac:dyDescent="0.25">
      <c r="D916" t="str">
        <f>IFERROR(VLOOKUP(B916,PRODUCTOS!A:B,2,FALSE),"")</f>
        <v/>
      </c>
      <c r="E916" t="e">
        <f t="shared" si="28"/>
        <v>#VALUE!</v>
      </c>
      <c r="F916" t="str">
        <f t="shared" si="29"/>
        <v/>
      </c>
    </row>
    <row r="917" spans="4:6" x14ac:dyDescent="0.25">
      <c r="D917" t="str">
        <f>IFERROR(VLOOKUP(B917,PRODUCTOS!A:B,2,FALSE),"")</f>
        <v/>
      </c>
      <c r="E917" t="e">
        <f t="shared" si="28"/>
        <v>#VALUE!</v>
      </c>
      <c r="F917" t="str">
        <f t="shared" si="29"/>
        <v/>
      </c>
    </row>
    <row r="918" spans="4:6" x14ac:dyDescent="0.25">
      <c r="D918" t="str">
        <f>IFERROR(VLOOKUP(B918,PRODUCTOS!A:B,2,FALSE),"")</f>
        <v/>
      </c>
      <c r="E918" t="e">
        <f t="shared" si="28"/>
        <v>#VALUE!</v>
      </c>
      <c r="F918" t="str">
        <f t="shared" si="29"/>
        <v/>
      </c>
    </row>
    <row r="919" spans="4:6" x14ac:dyDescent="0.25">
      <c r="D919" t="str">
        <f>IFERROR(VLOOKUP(B919,PRODUCTOS!A:B,2,FALSE),"")</f>
        <v/>
      </c>
      <c r="E919" t="e">
        <f t="shared" si="28"/>
        <v>#VALUE!</v>
      </c>
      <c r="F919" t="str">
        <f t="shared" si="29"/>
        <v/>
      </c>
    </row>
    <row r="920" spans="4:6" x14ac:dyDescent="0.25">
      <c r="D920" t="str">
        <f>IFERROR(VLOOKUP(B920,PRODUCTOS!A:B,2,FALSE),"")</f>
        <v/>
      </c>
      <c r="E920" t="e">
        <f t="shared" si="28"/>
        <v>#VALUE!</v>
      </c>
      <c r="F920" t="str">
        <f t="shared" si="29"/>
        <v/>
      </c>
    </row>
    <row r="921" spans="4:6" x14ac:dyDescent="0.25">
      <c r="D921" t="str">
        <f>IFERROR(VLOOKUP(B921,PRODUCTOS!A:B,2,FALSE),"")</f>
        <v/>
      </c>
      <c r="E921" t="e">
        <f t="shared" si="28"/>
        <v>#VALUE!</v>
      </c>
      <c r="F921" t="str">
        <f t="shared" si="29"/>
        <v/>
      </c>
    </row>
    <row r="922" spans="4:6" x14ac:dyDescent="0.25">
      <c r="D922" t="str">
        <f>IFERROR(VLOOKUP(B922,PRODUCTOS!A:B,2,FALSE),"")</f>
        <v/>
      </c>
      <c r="E922" t="e">
        <f t="shared" si="28"/>
        <v>#VALUE!</v>
      </c>
      <c r="F922" t="str">
        <f t="shared" si="29"/>
        <v/>
      </c>
    </row>
    <row r="923" spans="4:6" x14ac:dyDescent="0.25">
      <c r="D923" t="str">
        <f>IFERROR(VLOOKUP(B923,PRODUCTOS!A:B,2,FALSE),"")</f>
        <v/>
      </c>
      <c r="E923" t="e">
        <f t="shared" si="28"/>
        <v>#VALUE!</v>
      </c>
      <c r="F923" t="str">
        <f t="shared" si="29"/>
        <v/>
      </c>
    </row>
    <row r="924" spans="4:6" x14ac:dyDescent="0.25">
      <c r="D924" t="str">
        <f>IFERROR(VLOOKUP(B924,PRODUCTOS!A:B,2,FALSE),"")</f>
        <v/>
      </c>
      <c r="E924" t="e">
        <f t="shared" si="28"/>
        <v>#VALUE!</v>
      </c>
      <c r="F924" t="str">
        <f t="shared" si="29"/>
        <v/>
      </c>
    </row>
    <row r="925" spans="4:6" x14ac:dyDescent="0.25">
      <c r="D925" t="str">
        <f>IFERROR(VLOOKUP(B925,PRODUCTOS!A:B,2,FALSE),"")</f>
        <v/>
      </c>
      <c r="E925" t="e">
        <f t="shared" si="28"/>
        <v>#VALUE!</v>
      </c>
      <c r="F925" t="str">
        <f t="shared" si="29"/>
        <v/>
      </c>
    </row>
    <row r="926" spans="4:6" x14ac:dyDescent="0.25">
      <c r="D926" t="str">
        <f>IFERROR(VLOOKUP(B926,PRODUCTOS!A:B,2,FALSE),"")</f>
        <v/>
      </c>
      <c r="E926" t="e">
        <f t="shared" si="28"/>
        <v>#VALUE!</v>
      </c>
      <c r="F926" t="str">
        <f t="shared" si="29"/>
        <v/>
      </c>
    </row>
    <row r="927" spans="4:6" x14ac:dyDescent="0.25">
      <c r="D927" t="str">
        <f>IFERROR(VLOOKUP(B927,PRODUCTOS!A:B,2,FALSE),"")</f>
        <v/>
      </c>
      <c r="E927" t="e">
        <f t="shared" si="28"/>
        <v>#VALUE!</v>
      </c>
      <c r="F927" t="str">
        <f t="shared" si="29"/>
        <v/>
      </c>
    </row>
    <row r="928" spans="4:6" x14ac:dyDescent="0.25">
      <c r="D928" t="str">
        <f>IFERROR(VLOOKUP(B928,PRODUCTOS!A:B,2,FALSE),"")</f>
        <v/>
      </c>
      <c r="E928" t="e">
        <f t="shared" si="28"/>
        <v>#VALUE!</v>
      </c>
      <c r="F928" t="str">
        <f t="shared" si="29"/>
        <v/>
      </c>
    </row>
    <row r="929" spans="4:6" x14ac:dyDescent="0.25">
      <c r="D929" t="str">
        <f>IFERROR(VLOOKUP(B929,PRODUCTOS!A:B,2,FALSE),"")</f>
        <v/>
      </c>
      <c r="E929" t="e">
        <f t="shared" si="28"/>
        <v>#VALUE!</v>
      </c>
      <c r="F929" t="str">
        <f t="shared" si="29"/>
        <v/>
      </c>
    </row>
    <row r="930" spans="4:6" x14ac:dyDescent="0.25">
      <c r="D930" t="str">
        <f>IFERROR(VLOOKUP(B930,PRODUCTOS!A:B,2,FALSE),"")</f>
        <v/>
      </c>
      <c r="E930" t="e">
        <f t="shared" si="28"/>
        <v>#VALUE!</v>
      </c>
      <c r="F930" t="str">
        <f t="shared" si="29"/>
        <v/>
      </c>
    </row>
    <row r="931" spans="4:6" x14ac:dyDescent="0.25">
      <c r="D931" t="str">
        <f>IFERROR(VLOOKUP(B931,PRODUCTOS!A:B,2,FALSE),"")</f>
        <v/>
      </c>
      <c r="E931" t="e">
        <f t="shared" si="28"/>
        <v>#VALUE!</v>
      </c>
      <c r="F931" t="str">
        <f t="shared" si="29"/>
        <v/>
      </c>
    </row>
    <row r="932" spans="4:6" x14ac:dyDescent="0.25">
      <c r="D932" t="str">
        <f>IFERROR(VLOOKUP(B932,PRODUCTOS!A:B,2,FALSE),"")</f>
        <v/>
      </c>
      <c r="E932" t="e">
        <f t="shared" si="28"/>
        <v>#VALUE!</v>
      </c>
      <c r="F932" t="str">
        <f t="shared" si="29"/>
        <v/>
      </c>
    </row>
    <row r="933" spans="4:6" x14ac:dyDescent="0.25">
      <c r="D933" t="str">
        <f>IFERROR(VLOOKUP(B933,PRODUCTOS!A:B,2,FALSE),"")</f>
        <v/>
      </c>
      <c r="E933" t="e">
        <f t="shared" si="28"/>
        <v>#VALUE!</v>
      </c>
      <c r="F933" t="str">
        <f t="shared" si="29"/>
        <v/>
      </c>
    </row>
    <row r="934" spans="4:6" x14ac:dyDescent="0.25">
      <c r="D934" t="str">
        <f>IFERROR(VLOOKUP(B934,PRODUCTOS!A:B,2,FALSE),"")</f>
        <v/>
      </c>
      <c r="E934" t="e">
        <f t="shared" si="28"/>
        <v>#VALUE!</v>
      </c>
      <c r="F934" t="str">
        <f t="shared" si="29"/>
        <v/>
      </c>
    </row>
    <row r="935" spans="4:6" x14ac:dyDescent="0.25">
      <c r="D935" t="str">
        <f>IFERROR(VLOOKUP(B935,PRODUCTOS!A:B,2,FALSE),"")</f>
        <v/>
      </c>
      <c r="E935" t="e">
        <f t="shared" si="28"/>
        <v>#VALUE!</v>
      </c>
      <c r="F935" t="str">
        <f t="shared" si="29"/>
        <v/>
      </c>
    </row>
    <row r="936" spans="4:6" x14ac:dyDescent="0.25">
      <c r="D936" t="str">
        <f>IFERROR(VLOOKUP(B936,PRODUCTOS!A:B,2,FALSE),"")</f>
        <v/>
      </c>
      <c r="E936" t="e">
        <f t="shared" si="28"/>
        <v>#VALUE!</v>
      </c>
      <c r="F936" t="str">
        <f t="shared" si="29"/>
        <v/>
      </c>
    </row>
    <row r="937" spans="4:6" x14ac:dyDescent="0.25">
      <c r="D937" t="str">
        <f>IFERROR(VLOOKUP(B937,PRODUCTOS!A:B,2,FALSE),"")</f>
        <v/>
      </c>
      <c r="E937" t="e">
        <f t="shared" si="28"/>
        <v>#VALUE!</v>
      </c>
      <c r="F937" t="str">
        <f t="shared" si="29"/>
        <v/>
      </c>
    </row>
    <row r="938" spans="4:6" x14ac:dyDescent="0.25">
      <c r="D938" t="str">
        <f>IFERROR(VLOOKUP(B938,PRODUCTOS!A:B,2,FALSE),"")</f>
        <v/>
      </c>
      <c r="E938" t="e">
        <f t="shared" si="28"/>
        <v>#VALUE!</v>
      </c>
      <c r="F938" t="str">
        <f t="shared" si="29"/>
        <v/>
      </c>
    </row>
    <row r="939" spans="4:6" x14ac:dyDescent="0.25">
      <c r="D939" t="str">
        <f>IFERROR(VLOOKUP(B939,PRODUCTOS!A:B,2,FALSE),"")</f>
        <v/>
      </c>
      <c r="E939" t="e">
        <f t="shared" si="28"/>
        <v>#VALUE!</v>
      </c>
      <c r="F939" t="str">
        <f t="shared" si="29"/>
        <v/>
      </c>
    </row>
    <row r="940" spans="4:6" x14ac:dyDescent="0.25">
      <c r="D940" t="str">
        <f>IFERROR(VLOOKUP(B940,PRODUCTOS!A:B,2,FALSE),"")</f>
        <v/>
      </c>
      <c r="E940" t="e">
        <f t="shared" si="28"/>
        <v>#VALUE!</v>
      </c>
      <c r="F940" t="str">
        <f t="shared" si="29"/>
        <v/>
      </c>
    </row>
    <row r="941" spans="4:6" x14ac:dyDescent="0.25">
      <c r="D941" t="str">
        <f>IFERROR(VLOOKUP(B941,PRODUCTOS!A:B,2,FALSE),"")</f>
        <v/>
      </c>
      <c r="E941" t="e">
        <f t="shared" si="28"/>
        <v>#VALUE!</v>
      </c>
      <c r="F941" t="str">
        <f t="shared" si="29"/>
        <v/>
      </c>
    </row>
    <row r="942" spans="4:6" x14ac:dyDescent="0.25">
      <c r="D942" t="str">
        <f>IFERROR(VLOOKUP(B942,PRODUCTOS!A:B,2,FALSE),"")</f>
        <v/>
      </c>
      <c r="E942" t="e">
        <f t="shared" si="28"/>
        <v>#VALUE!</v>
      </c>
      <c r="F942" t="str">
        <f t="shared" si="29"/>
        <v/>
      </c>
    </row>
    <row r="943" spans="4:6" x14ac:dyDescent="0.25">
      <c r="D943" t="str">
        <f>IFERROR(VLOOKUP(B943,PRODUCTOS!A:B,2,FALSE),"")</f>
        <v/>
      </c>
      <c r="E943" t="e">
        <f t="shared" si="28"/>
        <v>#VALUE!</v>
      </c>
      <c r="F943" t="str">
        <f t="shared" si="29"/>
        <v/>
      </c>
    </row>
    <row r="944" spans="4:6" x14ac:dyDescent="0.25">
      <c r="D944" t="str">
        <f>IFERROR(VLOOKUP(B944,PRODUCTOS!A:B,2,FALSE),"")</f>
        <v/>
      </c>
      <c r="E944" t="e">
        <f t="shared" si="28"/>
        <v>#VALUE!</v>
      </c>
      <c r="F944" t="str">
        <f t="shared" si="29"/>
        <v/>
      </c>
    </row>
    <row r="945" spans="4:6" x14ac:dyDescent="0.25">
      <c r="D945" t="str">
        <f>IFERROR(VLOOKUP(B945,PRODUCTOS!A:B,2,FALSE),"")</f>
        <v/>
      </c>
      <c r="E945" t="e">
        <f t="shared" si="28"/>
        <v>#VALUE!</v>
      </c>
      <c r="F945" t="str">
        <f t="shared" si="29"/>
        <v/>
      </c>
    </row>
    <row r="946" spans="4:6" x14ac:dyDescent="0.25">
      <c r="D946" t="str">
        <f>IFERROR(VLOOKUP(B946,PRODUCTOS!A:B,2,FALSE),"")</f>
        <v/>
      </c>
      <c r="E946" t="e">
        <f t="shared" si="28"/>
        <v>#VALUE!</v>
      </c>
      <c r="F946" t="str">
        <f t="shared" si="29"/>
        <v/>
      </c>
    </row>
    <row r="947" spans="4:6" x14ac:dyDescent="0.25">
      <c r="D947" t="str">
        <f>IFERROR(VLOOKUP(B947,PRODUCTOS!A:B,2,FALSE),"")</f>
        <v/>
      </c>
      <c r="E947" t="e">
        <f t="shared" si="28"/>
        <v>#VALUE!</v>
      </c>
      <c r="F947" t="str">
        <f t="shared" si="29"/>
        <v/>
      </c>
    </row>
    <row r="948" spans="4:6" x14ac:dyDescent="0.25">
      <c r="D948" t="str">
        <f>IFERROR(VLOOKUP(B948,PRODUCTOS!A:B,2,FALSE),"")</f>
        <v/>
      </c>
      <c r="E948" t="e">
        <f t="shared" si="28"/>
        <v>#VALUE!</v>
      </c>
      <c r="F948" t="str">
        <f t="shared" si="29"/>
        <v/>
      </c>
    </row>
    <row r="949" spans="4:6" x14ac:dyDescent="0.25">
      <c r="D949" t="str">
        <f>IFERROR(VLOOKUP(B949,PRODUCTOS!A:B,2,FALSE),"")</f>
        <v/>
      </c>
      <c r="E949" t="e">
        <f t="shared" si="28"/>
        <v>#VALUE!</v>
      </c>
      <c r="F949" t="str">
        <f t="shared" si="29"/>
        <v/>
      </c>
    </row>
    <row r="950" spans="4:6" x14ac:dyDescent="0.25">
      <c r="D950" t="str">
        <f>IFERROR(VLOOKUP(B950,PRODUCTOS!A:B,2,FALSE),"")</f>
        <v/>
      </c>
      <c r="E950" t="e">
        <f t="shared" si="28"/>
        <v>#VALUE!</v>
      </c>
      <c r="F950" t="str">
        <f t="shared" si="29"/>
        <v/>
      </c>
    </row>
    <row r="951" spans="4:6" x14ac:dyDescent="0.25">
      <c r="D951" t="str">
        <f>IFERROR(VLOOKUP(B951,PRODUCTOS!A:B,2,FALSE),"")</f>
        <v/>
      </c>
      <c r="E951" t="e">
        <f t="shared" si="28"/>
        <v>#VALUE!</v>
      </c>
      <c r="F951" t="str">
        <f t="shared" si="29"/>
        <v/>
      </c>
    </row>
    <row r="952" spans="4:6" x14ac:dyDescent="0.25">
      <c r="D952" t="str">
        <f>IFERROR(VLOOKUP(B952,PRODUCTOS!A:B,2,FALSE),"")</f>
        <v/>
      </c>
      <c r="E952" t="e">
        <f t="shared" si="28"/>
        <v>#VALUE!</v>
      </c>
      <c r="F952" t="str">
        <f t="shared" si="29"/>
        <v/>
      </c>
    </row>
    <row r="953" spans="4:6" x14ac:dyDescent="0.25">
      <c r="D953" t="str">
        <f>IFERROR(VLOOKUP(B953,PRODUCTOS!A:B,2,FALSE),"")</f>
        <v/>
      </c>
      <c r="E953" t="e">
        <f t="shared" si="28"/>
        <v>#VALUE!</v>
      </c>
      <c r="F953" t="str">
        <f t="shared" si="29"/>
        <v/>
      </c>
    </row>
    <row r="954" spans="4:6" x14ac:dyDescent="0.25">
      <c r="D954" t="str">
        <f>IFERROR(VLOOKUP(B954,PRODUCTOS!A:B,2,FALSE),"")</f>
        <v/>
      </c>
      <c r="E954" t="e">
        <f t="shared" si="28"/>
        <v>#VALUE!</v>
      </c>
      <c r="F954" t="str">
        <f t="shared" si="29"/>
        <v/>
      </c>
    </row>
    <row r="955" spans="4:6" x14ac:dyDescent="0.25">
      <c r="D955" t="str">
        <f>IFERROR(VLOOKUP(B955,PRODUCTOS!A:B,2,FALSE),"")</f>
        <v/>
      </c>
      <c r="E955" t="e">
        <f t="shared" si="28"/>
        <v>#VALUE!</v>
      </c>
      <c r="F955" t="str">
        <f t="shared" si="29"/>
        <v/>
      </c>
    </row>
    <row r="956" spans="4:6" x14ac:dyDescent="0.25">
      <c r="D956" t="str">
        <f>IFERROR(VLOOKUP(B956,PRODUCTOS!A:B,2,FALSE),"")</f>
        <v/>
      </c>
      <c r="E956" t="e">
        <f t="shared" si="28"/>
        <v>#VALUE!</v>
      </c>
      <c r="F956" t="str">
        <f t="shared" si="29"/>
        <v/>
      </c>
    </row>
    <row r="957" spans="4:6" x14ac:dyDescent="0.25">
      <c r="D957" t="str">
        <f>IFERROR(VLOOKUP(B957,PRODUCTOS!A:B,2,FALSE),"")</f>
        <v/>
      </c>
      <c r="E957" t="e">
        <f t="shared" si="28"/>
        <v>#VALUE!</v>
      </c>
      <c r="F957" t="str">
        <f t="shared" si="29"/>
        <v/>
      </c>
    </row>
    <row r="958" spans="4:6" x14ac:dyDescent="0.25">
      <c r="D958" t="str">
        <f>IFERROR(VLOOKUP(B958,PRODUCTOS!A:B,2,FALSE),"")</f>
        <v/>
      </c>
      <c r="E958" t="e">
        <f t="shared" si="28"/>
        <v>#VALUE!</v>
      </c>
      <c r="F958" t="str">
        <f t="shared" si="29"/>
        <v/>
      </c>
    </row>
    <row r="959" spans="4:6" x14ac:dyDescent="0.25">
      <c r="D959" t="str">
        <f>IFERROR(VLOOKUP(B959,PRODUCTOS!A:B,2,FALSE),"")</f>
        <v/>
      </c>
      <c r="E959" t="e">
        <f t="shared" si="28"/>
        <v>#VALUE!</v>
      </c>
      <c r="F959" t="str">
        <f t="shared" si="29"/>
        <v/>
      </c>
    </row>
    <row r="960" spans="4:6" x14ac:dyDescent="0.25">
      <c r="D960" t="str">
        <f>IFERROR(VLOOKUP(B960,PRODUCTOS!A:B,2,FALSE),"")</f>
        <v/>
      </c>
      <c r="E960" t="e">
        <f t="shared" si="28"/>
        <v>#VALUE!</v>
      </c>
      <c r="F960" t="str">
        <f t="shared" si="29"/>
        <v/>
      </c>
    </row>
    <row r="961" spans="4:6" x14ac:dyDescent="0.25">
      <c r="D961" t="str">
        <f>IFERROR(VLOOKUP(B961,PRODUCTOS!A:B,2,FALSE),"")</f>
        <v/>
      </c>
      <c r="E961" t="e">
        <f t="shared" si="28"/>
        <v>#VALUE!</v>
      </c>
      <c r="F961" t="str">
        <f t="shared" si="29"/>
        <v/>
      </c>
    </row>
    <row r="962" spans="4:6" x14ac:dyDescent="0.25">
      <c r="D962" t="str">
        <f>IFERROR(VLOOKUP(B962,PRODUCTOS!A:B,2,FALSE),"")</f>
        <v/>
      </c>
      <c r="E962" t="e">
        <f t="shared" ref="E962:E1025" si="30">C962*D962</f>
        <v>#VALUE!</v>
      </c>
      <c r="F962" t="str">
        <f t="shared" ref="F962:F1001" si="31">IF(A962="","",TEXT(A962,"yyyy-mm"))</f>
        <v/>
      </c>
    </row>
    <row r="963" spans="4:6" x14ac:dyDescent="0.25">
      <c r="D963" t="str">
        <f>IFERROR(VLOOKUP(B963,PRODUCTOS!A:B,2,FALSE),"")</f>
        <v/>
      </c>
      <c r="E963" t="e">
        <f t="shared" si="30"/>
        <v>#VALUE!</v>
      </c>
      <c r="F963" t="str">
        <f t="shared" si="31"/>
        <v/>
      </c>
    </row>
    <row r="964" spans="4:6" x14ac:dyDescent="0.25">
      <c r="D964" t="str">
        <f>IFERROR(VLOOKUP(B964,PRODUCTOS!A:B,2,FALSE),"")</f>
        <v/>
      </c>
      <c r="E964" t="e">
        <f t="shared" si="30"/>
        <v>#VALUE!</v>
      </c>
      <c r="F964" t="str">
        <f t="shared" si="31"/>
        <v/>
      </c>
    </row>
    <row r="965" spans="4:6" x14ac:dyDescent="0.25">
      <c r="D965" t="str">
        <f>IFERROR(VLOOKUP(B965,PRODUCTOS!A:B,2,FALSE),"")</f>
        <v/>
      </c>
      <c r="E965" t="e">
        <f t="shared" si="30"/>
        <v>#VALUE!</v>
      </c>
      <c r="F965" t="str">
        <f t="shared" si="31"/>
        <v/>
      </c>
    </row>
    <row r="966" spans="4:6" x14ac:dyDescent="0.25">
      <c r="D966" t="str">
        <f>IFERROR(VLOOKUP(B966,PRODUCTOS!A:B,2,FALSE),"")</f>
        <v/>
      </c>
      <c r="E966" t="e">
        <f t="shared" si="30"/>
        <v>#VALUE!</v>
      </c>
      <c r="F966" t="str">
        <f t="shared" si="31"/>
        <v/>
      </c>
    </row>
    <row r="967" spans="4:6" x14ac:dyDescent="0.25">
      <c r="D967" t="str">
        <f>IFERROR(VLOOKUP(B967,PRODUCTOS!A:B,2,FALSE),"")</f>
        <v/>
      </c>
      <c r="E967" t="e">
        <f t="shared" si="30"/>
        <v>#VALUE!</v>
      </c>
      <c r="F967" t="str">
        <f t="shared" si="31"/>
        <v/>
      </c>
    </row>
    <row r="968" spans="4:6" x14ac:dyDescent="0.25">
      <c r="D968" t="str">
        <f>IFERROR(VLOOKUP(B968,PRODUCTOS!A:B,2,FALSE),"")</f>
        <v/>
      </c>
      <c r="E968" t="e">
        <f t="shared" si="30"/>
        <v>#VALUE!</v>
      </c>
      <c r="F968" t="str">
        <f t="shared" si="31"/>
        <v/>
      </c>
    </row>
    <row r="969" spans="4:6" x14ac:dyDescent="0.25">
      <c r="D969" t="str">
        <f>IFERROR(VLOOKUP(B969,PRODUCTOS!A:B,2,FALSE),"")</f>
        <v/>
      </c>
      <c r="E969" t="e">
        <f t="shared" si="30"/>
        <v>#VALUE!</v>
      </c>
      <c r="F969" t="str">
        <f t="shared" si="31"/>
        <v/>
      </c>
    </row>
    <row r="970" spans="4:6" x14ac:dyDescent="0.25">
      <c r="D970" t="str">
        <f>IFERROR(VLOOKUP(B970,PRODUCTOS!A:B,2,FALSE),"")</f>
        <v/>
      </c>
      <c r="E970" t="e">
        <f t="shared" si="30"/>
        <v>#VALUE!</v>
      </c>
      <c r="F970" t="str">
        <f t="shared" si="31"/>
        <v/>
      </c>
    </row>
    <row r="971" spans="4:6" x14ac:dyDescent="0.25">
      <c r="D971" t="str">
        <f>IFERROR(VLOOKUP(B971,PRODUCTOS!A:B,2,FALSE),"")</f>
        <v/>
      </c>
      <c r="E971" t="e">
        <f t="shared" si="30"/>
        <v>#VALUE!</v>
      </c>
      <c r="F971" t="str">
        <f t="shared" si="31"/>
        <v/>
      </c>
    </row>
    <row r="972" spans="4:6" x14ac:dyDescent="0.25">
      <c r="D972" t="str">
        <f>IFERROR(VLOOKUP(B972,PRODUCTOS!A:B,2,FALSE),"")</f>
        <v/>
      </c>
      <c r="E972" t="e">
        <f t="shared" si="30"/>
        <v>#VALUE!</v>
      </c>
      <c r="F972" t="str">
        <f t="shared" si="31"/>
        <v/>
      </c>
    </row>
    <row r="973" spans="4:6" x14ac:dyDescent="0.25">
      <c r="D973" t="str">
        <f>IFERROR(VLOOKUP(B973,PRODUCTOS!A:B,2,FALSE),"")</f>
        <v/>
      </c>
      <c r="E973" t="e">
        <f t="shared" si="30"/>
        <v>#VALUE!</v>
      </c>
      <c r="F973" t="str">
        <f t="shared" si="31"/>
        <v/>
      </c>
    </row>
    <row r="974" spans="4:6" x14ac:dyDescent="0.25">
      <c r="D974" t="str">
        <f>IFERROR(VLOOKUP(B974,PRODUCTOS!A:B,2,FALSE),"")</f>
        <v/>
      </c>
      <c r="E974" t="e">
        <f t="shared" si="30"/>
        <v>#VALUE!</v>
      </c>
      <c r="F974" t="str">
        <f t="shared" si="31"/>
        <v/>
      </c>
    </row>
    <row r="975" spans="4:6" x14ac:dyDescent="0.25">
      <c r="D975" t="str">
        <f>IFERROR(VLOOKUP(B975,PRODUCTOS!A:B,2,FALSE),"")</f>
        <v/>
      </c>
      <c r="E975" t="e">
        <f t="shared" si="30"/>
        <v>#VALUE!</v>
      </c>
      <c r="F975" t="str">
        <f t="shared" si="31"/>
        <v/>
      </c>
    </row>
    <row r="976" spans="4:6" x14ac:dyDescent="0.25">
      <c r="D976" t="str">
        <f>IFERROR(VLOOKUP(B976,PRODUCTOS!A:B,2,FALSE),"")</f>
        <v/>
      </c>
      <c r="E976" t="e">
        <f t="shared" si="30"/>
        <v>#VALUE!</v>
      </c>
      <c r="F976" t="str">
        <f t="shared" si="31"/>
        <v/>
      </c>
    </row>
    <row r="977" spans="4:6" x14ac:dyDescent="0.25">
      <c r="D977" t="str">
        <f>IFERROR(VLOOKUP(B977,PRODUCTOS!A:B,2,FALSE),"")</f>
        <v/>
      </c>
      <c r="E977" t="e">
        <f t="shared" si="30"/>
        <v>#VALUE!</v>
      </c>
      <c r="F977" t="str">
        <f t="shared" si="31"/>
        <v/>
      </c>
    </row>
    <row r="978" spans="4:6" x14ac:dyDescent="0.25">
      <c r="D978" t="str">
        <f>IFERROR(VLOOKUP(B978,PRODUCTOS!A:B,2,FALSE),"")</f>
        <v/>
      </c>
      <c r="E978" t="e">
        <f t="shared" si="30"/>
        <v>#VALUE!</v>
      </c>
      <c r="F978" t="str">
        <f t="shared" si="31"/>
        <v/>
      </c>
    </row>
    <row r="979" spans="4:6" x14ac:dyDescent="0.25">
      <c r="D979" t="str">
        <f>IFERROR(VLOOKUP(B979,PRODUCTOS!A:B,2,FALSE),"")</f>
        <v/>
      </c>
      <c r="E979" t="e">
        <f t="shared" si="30"/>
        <v>#VALUE!</v>
      </c>
      <c r="F979" t="str">
        <f t="shared" si="31"/>
        <v/>
      </c>
    </row>
    <row r="980" spans="4:6" x14ac:dyDescent="0.25">
      <c r="D980" t="str">
        <f>IFERROR(VLOOKUP(B980,PRODUCTOS!A:B,2,FALSE),"")</f>
        <v/>
      </c>
      <c r="E980" t="e">
        <f t="shared" si="30"/>
        <v>#VALUE!</v>
      </c>
      <c r="F980" t="str">
        <f t="shared" si="31"/>
        <v/>
      </c>
    </row>
    <row r="981" spans="4:6" x14ac:dyDescent="0.25">
      <c r="D981" t="str">
        <f>IFERROR(VLOOKUP(B981,PRODUCTOS!A:B,2,FALSE),"")</f>
        <v/>
      </c>
      <c r="E981" t="e">
        <f t="shared" si="30"/>
        <v>#VALUE!</v>
      </c>
      <c r="F981" t="str">
        <f t="shared" si="31"/>
        <v/>
      </c>
    </row>
    <row r="982" spans="4:6" x14ac:dyDescent="0.25">
      <c r="D982" t="str">
        <f>IFERROR(VLOOKUP(B982,PRODUCTOS!A:B,2,FALSE),"")</f>
        <v/>
      </c>
      <c r="E982" t="e">
        <f t="shared" si="30"/>
        <v>#VALUE!</v>
      </c>
      <c r="F982" t="str">
        <f t="shared" si="31"/>
        <v/>
      </c>
    </row>
    <row r="983" spans="4:6" x14ac:dyDescent="0.25">
      <c r="D983" t="str">
        <f>IFERROR(VLOOKUP(B983,PRODUCTOS!A:B,2,FALSE),"")</f>
        <v/>
      </c>
      <c r="E983" t="e">
        <f t="shared" si="30"/>
        <v>#VALUE!</v>
      </c>
      <c r="F983" t="str">
        <f t="shared" si="31"/>
        <v/>
      </c>
    </row>
    <row r="984" spans="4:6" x14ac:dyDescent="0.25">
      <c r="D984" t="str">
        <f>IFERROR(VLOOKUP(B984,PRODUCTOS!A:B,2,FALSE),"")</f>
        <v/>
      </c>
      <c r="E984" t="e">
        <f t="shared" si="30"/>
        <v>#VALUE!</v>
      </c>
      <c r="F984" t="str">
        <f t="shared" si="31"/>
        <v/>
      </c>
    </row>
    <row r="985" spans="4:6" x14ac:dyDescent="0.25">
      <c r="D985" t="str">
        <f>IFERROR(VLOOKUP(B985,PRODUCTOS!A:B,2,FALSE),"")</f>
        <v/>
      </c>
      <c r="E985" t="e">
        <f t="shared" si="30"/>
        <v>#VALUE!</v>
      </c>
      <c r="F985" t="str">
        <f t="shared" si="31"/>
        <v/>
      </c>
    </row>
    <row r="986" spans="4:6" x14ac:dyDescent="0.25">
      <c r="D986" t="str">
        <f>IFERROR(VLOOKUP(B986,PRODUCTOS!A:B,2,FALSE),"")</f>
        <v/>
      </c>
      <c r="E986" t="e">
        <f t="shared" si="30"/>
        <v>#VALUE!</v>
      </c>
      <c r="F986" t="str">
        <f t="shared" si="31"/>
        <v/>
      </c>
    </row>
    <row r="987" spans="4:6" x14ac:dyDescent="0.25">
      <c r="D987" t="str">
        <f>IFERROR(VLOOKUP(B987,PRODUCTOS!A:B,2,FALSE),"")</f>
        <v/>
      </c>
      <c r="E987" t="e">
        <f t="shared" si="30"/>
        <v>#VALUE!</v>
      </c>
      <c r="F987" t="str">
        <f t="shared" si="31"/>
        <v/>
      </c>
    </row>
    <row r="988" spans="4:6" x14ac:dyDescent="0.25">
      <c r="D988" t="str">
        <f>IFERROR(VLOOKUP(B988,PRODUCTOS!A:B,2,FALSE),"")</f>
        <v/>
      </c>
      <c r="E988" t="e">
        <f t="shared" si="30"/>
        <v>#VALUE!</v>
      </c>
      <c r="F988" t="str">
        <f t="shared" si="31"/>
        <v/>
      </c>
    </row>
    <row r="989" spans="4:6" x14ac:dyDescent="0.25">
      <c r="D989" t="str">
        <f>IFERROR(VLOOKUP(B989,PRODUCTOS!A:B,2,FALSE),"")</f>
        <v/>
      </c>
      <c r="E989" t="e">
        <f t="shared" si="30"/>
        <v>#VALUE!</v>
      </c>
      <c r="F989" t="str">
        <f t="shared" si="31"/>
        <v/>
      </c>
    </row>
    <row r="990" spans="4:6" x14ac:dyDescent="0.25">
      <c r="D990" t="str">
        <f>IFERROR(VLOOKUP(B990,PRODUCTOS!A:B,2,FALSE),"")</f>
        <v/>
      </c>
      <c r="E990" t="e">
        <f t="shared" si="30"/>
        <v>#VALUE!</v>
      </c>
      <c r="F990" t="str">
        <f t="shared" si="31"/>
        <v/>
      </c>
    </row>
    <row r="991" spans="4:6" x14ac:dyDescent="0.25">
      <c r="D991" t="str">
        <f>IFERROR(VLOOKUP(B991,PRODUCTOS!A:B,2,FALSE),"")</f>
        <v/>
      </c>
      <c r="E991" t="e">
        <f t="shared" si="30"/>
        <v>#VALUE!</v>
      </c>
      <c r="F991" t="str">
        <f t="shared" si="31"/>
        <v/>
      </c>
    </row>
    <row r="992" spans="4:6" x14ac:dyDescent="0.25">
      <c r="D992" t="str">
        <f>IFERROR(VLOOKUP(B992,PRODUCTOS!A:B,2,FALSE),"")</f>
        <v/>
      </c>
      <c r="E992" t="e">
        <f t="shared" si="30"/>
        <v>#VALUE!</v>
      </c>
      <c r="F992" t="str">
        <f t="shared" si="31"/>
        <v/>
      </c>
    </row>
    <row r="993" spans="4:6" x14ac:dyDescent="0.25">
      <c r="D993" t="str">
        <f>IFERROR(VLOOKUP(B993,PRODUCTOS!A:B,2,FALSE),"")</f>
        <v/>
      </c>
      <c r="E993" t="e">
        <f t="shared" si="30"/>
        <v>#VALUE!</v>
      </c>
      <c r="F993" t="str">
        <f t="shared" si="31"/>
        <v/>
      </c>
    </row>
    <row r="994" spans="4:6" x14ac:dyDescent="0.25">
      <c r="D994" t="str">
        <f>IFERROR(VLOOKUP(B994,PRODUCTOS!A:B,2,FALSE),"")</f>
        <v/>
      </c>
      <c r="E994" t="e">
        <f t="shared" si="30"/>
        <v>#VALUE!</v>
      </c>
      <c r="F994" t="str">
        <f t="shared" si="31"/>
        <v/>
      </c>
    </row>
    <row r="995" spans="4:6" x14ac:dyDescent="0.25">
      <c r="D995" t="str">
        <f>IFERROR(VLOOKUP(B995,PRODUCTOS!A:B,2,FALSE),"")</f>
        <v/>
      </c>
      <c r="E995" t="e">
        <f t="shared" si="30"/>
        <v>#VALUE!</v>
      </c>
      <c r="F995" t="str">
        <f t="shared" si="31"/>
        <v/>
      </c>
    </row>
    <row r="996" spans="4:6" x14ac:dyDescent="0.25">
      <c r="D996" t="str">
        <f>IFERROR(VLOOKUP(B996,PRODUCTOS!A:B,2,FALSE),"")</f>
        <v/>
      </c>
      <c r="E996" t="e">
        <f t="shared" si="30"/>
        <v>#VALUE!</v>
      </c>
      <c r="F996" t="str">
        <f t="shared" si="31"/>
        <v/>
      </c>
    </row>
    <row r="997" spans="4:6" x14ac:dyDescent="0.25">
      <c r="D997" t="str">
        <f>IFERROR(VLOOKUP(B997,PRODUCTOS!A:B,2,FALSE),"")</f>
        <v/>
      </c>
      <c r="E997" t="e">
        <f t="shared" si="30"/>
        <v>#VALUE!</v>
      </c>
      <c r="F997" t="str">
        <f t="shared" si="31"/>
        <v/>
      </c>
    </row>
    <row r="998" spans="4:6" x14ac:dyDescent="0.25">
      <c r="D998" t="str">
        <f>IFERROR(VLOOKUP(B998,PRODUCTOS!A:B,2,FALSE),"")</f>
        <v/>
      </c>
      <c r="E998" t="e">
        <f t="shared" si="30"/>
        <v>#VALUE!</v>
      </c>
      <c r="F998" t="str">
        <f t="shared" si="31"/>
        <v/>
      </c>
    </row>
    <row r="999" spans="4:6" x14ac:dyDescent="0.25">
      <c r="D999" t="str">
        <f>IFERROR(VLOOKUP(B999,PRODUCTOS!A:B,2,FALSE),"")</f>
        <v/>
      </c>
      <c r="E999" t="e">
        <f t="shared" si="30"/>
        <v>#VALUE!</v>
      </c>
      <c r="F999" t="str">
        <f t="shared" si="31"/>
        <v/>
      </c>
    </row>
    <row r="1000" spans="4:6" x14ac:dyDescent="0.25">
      <c r="D1000" t="str">
        <f>IFERROR(VLOOKUP(B1000,PRODUCTOS!A:B,2,FALSE),"")</f>
        <v/>
      </c>
      <c r="E1000" t="e">
        <f t="shared" si="30"/>
        <v>#VALUE!</v>
      </c>
      <c r="F1000" t="str">
        <f t="shared" si="31"/>
        <v/>
      </c>
    </row>
    <row r="1001" spans="4:6" x14ac:dyDescent="0.25">
      <c r="D1001" t="str">
        <f>IFERROR(VLOOKUP(B1001,PRODUCTOS!A:B,2,FALSE),"")</f>
        <v/>
      </c>
      <c r="E1001" t="e">
        <f t="shared" si="30"/>
        <v>#VALUE!</v>
      </c>
      <c r="F1001" t="str">
        <f t="shared" si="31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9" customWidth="1"/>
    <col min="2" max="2" width="35" customWidth="1"/>
    <col min="3" max="3" width="40" customWidth="1"/>
    <col min="4" max="4" width="14.140625" customWidth="1"/>
  </cols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3</v>
      </c>
    </row>
    <row r="2" spans="1:4" x14ac:dyDescent="0.25">
      <c r="A2" t="s">
        <v>15</v>
      </c>
      <c r="B2">
        <f>SUMIF(VENTAS!F:F,A2,VENTAS!E:E)</f>
        <v>0</v>
      </c>
      <c r="C2">
        <f>SUMPRODUCT((VENTAS!F2:F1000=A2) *(VENTAS!C2:C1000) *IFERROR(VLOOKUP(VENTAS!B2:B1000,PRODUCTOS!A:C,3,FALSE),0))</f>
        <v>0</v>
      </c>
      <c r="D2">
        <f t="shared" ref="D2:D13" si="0">B2-C2</f>
        <v>0</v>
      </c>
    </row>
    <row r="3" spans="1:4" x14ac:dyDescent="0.25">
      <c r="A3" t="s">
        <v>16</v>
      </c>
      <c r="B3">
        <f>SUMIF(VENTAS!F:F,A3,VENTAS!E:E)</f>
        <v>0</v>
      </c>
      <c r="C3">
        <f>SUMPRODUCT((VENTAS!F3:F1001=A3) *(VENTAS!C3:C1001) *IFERROR(VLOOKUP(VENTAS!B3:B1001,PRODUCTOS!A:C,3,FALSE),0))</f>
        <v>0</v>
      </c>
      <c r="D3">
        <f t="shared" si="0"/>
        <v>0</v>
      </c>
    </row>
    <row r="4" spans="1:4" x14ac:dyDescent="0.25">
      <c r="A4" t="s">
        <v>17</v>
      </c>
      <c r="B4">
        <f>SUMIF(VENTAS!F:F,A4,VENTAS!E:E)</f>
        <v>0</v>
      </c>
      <c r="C4">
        <f>SUMPRODUCT((VENTAS!F4:F1002=A4) *(VENTAS!C4:C1002) *IFERROR(VLOOKUP(VENTAS!B4:B1002,PRODUCTOS!A:C,3,FALSE),0))</f>
        <v>0</v>
      </c>
      <c r="D4">
        <f t="shared" si="0"/>
        <v>0</v>
      </c>
    </row>
    <row r="5" spans="1:4" x14ac:dyDescent="0.25">
      <c r="A5" t="s">
        <v>18</v>
      </c>
      <c r="B5">
        <f>SUMIF(VENTAS!F:F,A5,VENTAS!E:E)</f>
        <v>0</v>
      </c>
      <c r="C5">
        <f>SUMPRODUCT((VENTAS!F5:F1003=A5) *(VENTAS!C5:C1003) *IFERROR(VLOOKUP(VENTAS!B5:B1003,PRODUCTOS!A:C,3,FALSE),0))</f>
        <v>0</v>
      </c>
      <c r="D5">
        <f t="shared" si="0"/>
        <v>0</v>
      </c>
    </row>
    <row r="6" spans="1:4" x14ac:dyDescent="0.25">
      <c r="A6" t="s">
        <v>19</v>
      </c>
      <c r="B6">
        <f>SUMIF(VENTAS!F:F,A6,VENTAS!E:E)</f>
        <v>0</v>
      </c>
      <c r="C6">
        <f>SUMPRODUCT((VENTAS!F6:F1004=A6) *(VENTAS!C6:C1004) *IFERROR(VLOOKUP(VENTAS!B6:B1004,PRODUCTOS!A:C,3,FALSE),0))</f>
        <v>0</v>
      </c>
      <c r="D6">
        <f t="shared" si="0"/>
        <v>0</v>
      </c>
    </row>
    <row r="7" spans="1:4" x14ac:dyDescent="0.25">
      <c r="A7" t="s">
        <v>20</v>
      </c>
      <c r="B7">
        <f>SUMIF(VENTAS!F:F,A7,VENTAS!E:E)</f>
        <v>0</v>
      </c>
      <c r="C7">
        <f>SUMPRODUCT((VENTAS!F7:F1005=A7) *(VENTAS!C7:C1005) *IFERROR(VLOOKUP(VENTAS!B7:B1005,PRODUCTOS!A:C,3,FALSE),0))</f>
        <v>0</v>
      </c>
      <c r="D7">
        <f t="shared" si="0"/>
        <v>0</v>
      </c>
    </row>
    <row r="8" spans="1:4" x14ac:dyDescent="0.25">
      <c r="A8" t="s">
        <v>21</v>
      </c>
      <c r="B8">
        <f>SUMIF(VENTAS!F:F,A8,VENTAS!E:E)</f>
        <v>0</v>
      </c>
      <c r="C8">
        <f>SUMPRODUCT((VENTAS!F8:F1006=A8) *(VENTAS!C8:C1006) *IFERROR(VLOOKUP(VENTAS!B8:B1006,PRODUCTOS!A:C,3,FALSE),0))</f>
        <v>0</v>
      </c>
      <c r="D8">
        <f t="shared" si="0"/>
        <v>0</v>
      </c>
    </row>
    <row r="9" spans="1:4" x14ac:dyDescent="0.25">
      <c r="A9" t="s">
        <v>22</v>
      </c>
      <c r="B9">
        <f>SUMIF(VENTAS!F:F,A9,VENTAS!E:E)</f>
        <v>0</v>
      </c>
      <c r="C9">
        <f>SUMPRODUCT((VENTAS!F9:F1007=A9) *(VENTAS!C9:C1007) *IFERROR(VLOOKUP(VENTAS!B9:B1007,PRODUCTOS!A:C,3,FALSE),0))</f>
        <v>0</v>
      </c>
      <c r="D9">
        <f t="shared" si="0"/>
        <v>0</v>
      </c>
    </row>
    <row r="10" spans="1:4" x14ac:dyDescent="0.25">
      <c r="A10" t="s">
        <v>23</v>
      </c>
      <c r="B10">
        <f>SUMIF(VENTAS!F:F,A10,VENTAS!E:E)</f>
        <v>0</v>
      </c>
      <c r="C10">
        <f>SUMPRODUCT((VENTAS!F10:F1008=A10) *(VENTAS!C10:C1008) *IFERROR(VLOOKUP(VENTAS!B10:B1008,PRODUCTOS!A:C,3,FALSE),0))</f>
        <v>0</v>
      </c>
      <c r="D10">
        <f t="shared" si="0"/>
        <v>0</v>
      </c>
    </row>
    <row r="11" spans="1:4" x14ac:dyDescent="0.25">
      <c r="A11" t="s">
        <v>24</v>
      </c>
      <c r="B11">
        <f>SUMIF(VENTAS!F:F,A11,VENTAS!E:E)</f>
        <v>0</v>
      </c>
      <c r="C11">
        <f>SUMPRODUCT((VENTAS!F11:F1009=A11) *(VENTAS!C11:C1009) *IFERROR(VLOOKUP(VENTAS!B11:B1009,PRODUCTOS!A:C,3,FALSE),0))</f>
        <v>0</v>
      </c>
      <c r="D11">
        <f t="shared" si="0"/>
        <v>0</v>
      </c>
    </row>
    <row r="12" spans="1:4" x14ac:dyDescent="0.25">
      <c r="A12" t="s">
        <v>25</v>
      </c>
      <c r="B12">
        <f>SUMIF(VENTAS!F:F,A12,VENTAS!E:E)</f>
        <v>0</v>
      </c>
      <c r="C12">
        <f>SUMPRODUCT((VENTAS!F12:F1010=A12) *(VENTAS!C12:C1010) *IFERROR(VLOOKUP(VENTAS!B12:B1010,PRODUCTOS!A:C,3,FALSE),0))</f>
        <v>0</v>
      </c>
      <c r="D12">
        <f t="shared" si="0"/>
        <v>0</v>
      </c>
    </row>
    <row r="13" spans="1:4" x14ac:dyDescent="0.25">
      <c r="A13" t="s">
        <v>26</v>
      </c>
      <c r="B13">
        <f>SUMIF(VENTAS!F:F,A13,VENTAS!E:E)</f>
        <v>0</v>
      </c>
      <c r="C13">
        <f>SUMPRODUCT((VENTAS!F13:F1011=A13) *(VENTAS!C13:C1011) *IFERROR(VLOOKUP(VENTAS!B13:B1011,PRODUCTOS!A:C,3,FALSE),0))</f>
        <v>0</v>
      </c>
      <c r="D13">
        <f t="shared" si="0"/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INSUMOS</vt:lpstr>
      <vt:lpstr>RECETAS</vt:lpstr>
      <vt:lpstr>VENTAS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Calvo Ruiz</cp:lastModifiedBy>
  <dcterms:created xsi:type="dcterms:W3CDTF">2026-06-11T12:42:05Z</dcterms:created>
  <dcterms:modified xsi:type="dcterms:W3CDTF">2026-06-11T16:12:26Z</dcterms:modified>
</cp:coreProperties>
</file>